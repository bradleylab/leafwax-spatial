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.hren/Library/CloudStorage/Dropbox/OPI Himalaya/Hren &amp; Brandon 2023_EPSL Epsilon for Waxes/Files To Submit 03_2025/For Zenodo Upload/"/>
    </mc:Choice>
  </mc:AlternateContent>
  <xr:revisionPtr revIDLastSave="0" documentId="13_ncr:1_{D692259B-021A-0B41-BD8B-E2FB1A6B2EEF}" xr6:coauthVersionLast="47" xr6:coauthVersionMax="47" xr10:uidLastSave="{00000000-0000-0000-0000-000000000000}"/>
  <bookViews>
    <workbookView xWindow="4840" yWindow="500" windowWidth="28800" windowHeight="16800" xr2:uid="{00000000-000D-0000-FFFF-FFFF00000000}"/>
  </bookViews>
  <sheets>
    <sheet name="All samples" sheetId="1" r:id="rId1"/>
    <sheet name="SE Calc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2" i="1" l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F105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104" i="2" s="1"/>
  <c r="G106" i="2" s="1"/>
  <c r="L212" i="1" l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9" i="1" a="1"/>
  <c r="L179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L101" i="1" a="1"/>
  <c r="L101" i="1" s="1"/>
  <c r="L100" i="1" a="1"/>
  <c r="L100" i="1" s="1"/>
  <c r="L99" i="1" a="1"/>
  <c r="L99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62" i="1" a="1"/>
  <c r="L6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<sst xmlns="http://schemas.openxmlformats.org/spreadsheetml/2006/main" count="1127" uniqueCount="408">
  <si>
    <t>Bai et al. 2012 JOURNAL OF GEOPHYSICAL RESEARCH, VOL. 117, D20113, doi:10.1029/2012JD017803, 2012</t>
  </si>
  <si>
    <t>Bai et al. 2012 JOURNAL OF GEOPHYSICAL RESEARCH, VOL. 117, D20113, doi:10.1029/2012JD017803, 2013</t>
  </si>
  <si>
    <t>Bai et al. 2012 JOURNAL OF GEOPHYSICAL RESEARCH, VOL. 117, D20113, doi:10.1029/2012JD017803, 2014</t>
  </si>
  <si>
    <t>Bai et al. 2012 JOURNAL OF GEOPHYSICAL RESEARCH, VOL. 117, D20113, doi:10.1029/2012JD017803, 2015</t>
  </si>
  <si>
    <t>Bai et al. 2012 JOURNAL OF GEOPHYSICAL RESEARCH, VOL. 117, D20113, doi:10.1029/2012JD017803, 2016</t>
  </si>
  <si>
    <t>Bai et al. 2012 JOURNAL OF GEOPHYSICAL RESEARCH, VOL. 117, D20113, doi:10.1029/2012JD017803, 2017</t>
  </si>
  <si>
    <t>Bai et al. 2012 JOURNAL OF GEOPHYSICAL RESEARCH, VOL. 117, D20113, doi:10.1029/2012JD017803, 2018</t>
  </si>
  <si>
    <t>Bai et al. 2012 JOURNAL OF GEOPHYSICAL RESEARCH, VOL. 117, D20113, doi:10.1029/2012JD017803, 2019</t>
  </si>
  <si>
    <t>Bai et al. 2012 JOURNAL OF GEOPHYSICAL RESEARCH, VOL. 117, D20113, doi:10.1029/2012JD017803, 2020</t>
  </si>
  <si>
    <t>Bai et al. 2012 JOURNAL OF GEOPHYSICAL RESEARCH, VOL. 117, D20113, doi:10.1029/2012JD017803, 2021</t>
  </si>
  <si>
    <t>Bai et al. 2012 JOURNAL OF GEOPHYSICAL RESEARCH, VOL. 117, D20113, doi:10.1029/2012JD017803, 2022</t>
  </si>
  <si>
    <t>Bai et al. 2012 JOURNAL OF GEOPHYSICAL RESEARCH, VOL. 117, D20113, doi:10.1029/2012JD017803, 2023</t>
  </si>
  <si>
    <t>Bai et al. 2012 JOURNAL OF GEOPHYSICAL RESEARCH, VOL. 117, D20113, doi:10.1029/2012JD017803, 2024</t>
  </si>
  <si>
    <t>Bai et al. 2012 JOURNAL OF GEOPHYSICAL RESEARCH, VOL. 117, D20113, doi:10.1029/2012JD017803, 2025</t>
  </si>
  <si>
    <t>Bai et al. 2012 JOURNAL OF GEOPHYSICAL RESEARCH, VOL. 117, D20113, doi:10.1029/2012JD017803, 2026</t>
  </si>
  <si>
    <t>Bai et al. 2012 JOURNAL OF GEOPHYSICAL RESEARCH, VOL. 117, D20113, doi:10.1029/2012JD017803, 2027</t>
  </si>
  <si>
    <t>Bai et al. 2012 JOURNAL OF GEOPHYSICAL RESEARCH, VOL. 117, D20113, doi:10.1029/2012JD017803, 2028</t>
  </si>
  <si>
    <t>Bai et al. 2012 JOURNAL OF GEOPHYSICAL RESEARCH, VOL. 117, D20113, doi:10.1029/2012JD017803, 2029</t>
  </si>
  <si>
    <t>Bai et al. 2012 JOURNAL OF GEOPHYSICAL RESEARCH, VOL. 117, D20113, doi:10.1029/2012JD017803, 2030</t>
  </si>
  <si>
    <t>Bai et al. 2012 JOURNAL OF GEOPHYSICAL RESEARCH, VOL. 117, D20113, doi:10.1029/2012JD017803, 2031</t>
  </si>
  <si>
    <t>Bai et al. 2012 JOURNAL OF GEOPHYSICAL RESEARCH, VOL. 117, D20113, doi:10.1029/2012JD017803, 2032</t>
  </si>
  <si>
    <t>Bai et al. 2012 JOURNAL OF GEOPHYSICAL RESEARCH, VOL. 117, D20113, doi:10.1029/2012JD017803, 2033</t>
  </si>
  <si>
    <t>Bai et al. 2012 JOURNAL OF GEOPHYSICAL RESEARCH, VOL. 117, D20113, doi:10.1029/2012JD017803, 2034</t>
  </si>
  <si>
    <t>Bai et al. 2012 JOURNAL OF GEOPHYSICAL RESEARCH, VOL. 117, D20113, doi:10.1029/2012JD017803, 2035</t>
  </si>
  <si>
    <t>Bai et al. 2012 JOURNAL OF GEOPHYSICAL RESEARCH, VOL. 117, D20113, doi:10.1029/2012JD017803, 2036</t>
  </si>
  <si>
    <t>Bai et al. 2012 JOURNAL OF GEOPHYSICAL RESEARCH, VOL. 117, D20113, doi:10.1029/2012JD017803, 2037</t>
  </si>
  <si>
    <t>Bai et al. 2012 JOURNAL OF GEOPHYSICAL RESEARCH, VOL. 117, D20113, doi:10.1029/2012JD017803, 2038</t>
  </si>
  <si>
    <t>Bai et al. 2012 JOURNAL OF GEOPHYSICAL RESEARCH, VOL. 117, D20113, doi:10.1029/2012JD017803, 2039</t>
  </si>
  <si>
    <t>Bai et al. 2012 JOURNAL OF GEOPHYSICAL RESEARCH, VOL. 117, D20113, doi:10.1029/2012JD017803, 2040</t>
  </si>
  <si>
    <t>Bai et al. 2012 JOURNAL OF GEOPHYSICAL RESEARCH, VOL. 117, D20113, doi:10.1029/2012JD017803, 2041</t>
  </si>
  <si>
    <t>Bai et al. 2012 JOURNAL OF GEOPHYSICAL RESEARCH, VOL. 117, D20113, doi:10.1029/2012JD017803, 2042</t>
  </si>
  <si>
    <t>Bai et al. 2012 JOURNAL OF GEOPHYSICAL RESEARCH, VOL. 117, D20113, doi:10.1029/2012JD017803, 2043</t>
  </si>
  <si>
    <t>Bai et al. 2012 JOURNAL OF GEOPHYSICAL RESEARCH, VOL. 117, D20113, doi:10.1029/2012JD017803, 2044</t>
  </si>
  <si>
    <t>Bai et al. 2012 JOURNAL OF GEOPHYSICAL RESEARCH, VOL. 117, D20113, doi:10.1029/2012JD017803, 2045</t>
  </si>
  <si>
    <t>Bai et al. 2012 JOURNAL OF GEOPHYSICAL RESEARCH, VOL. 117, D20113, doi:10.1029/2012JD017803, 2046</t>
  </si>
  <si>
    <t>Bai et al. 2012 JOURNAL OF GEOPHYSICAL RESEARCH, VOL. 117, D20113, doi:10.1029/2012JD017803, 2047</t>
  </si>
  <si>
    <t>Bai et al. 2012 JOURNAL OF GEOPHYSICAL RESEARCH, VOL. 117, D20113, doi:10.1029/2012JD017803, 2048</t>
  </si>
  <si>
    <t>Bai et al. 2012 JOURNAL OF GEOPHYSICAL RESEARCH, VOL. 117, D20113, doi:10.1029/2012JD017803, 2049</t>
  </si>
  <si>
    <t>Bai et al. 2012 JOURNAL OF GEOPHYSICAL RESEARCH, VOL. 117, D20113, doi:10.1029/2012JD017803, 2050</t>
  </si>
  <si>
    <t>Bai et al. 2012 JOURNAL OF GEOPHYSICAL RESEARCH, VOL. 117, D20113, doi:10.1029/2012JD017803, 2051</t>
  </si>
  <si>
    <t>Bai et al. 2012 JOURNAL OF GEOPHYSICAL RESEARCH, VOL. 117, D20113, doi:10.1029/2012JD017803, 2052</t>
  </si>
  <si>
    <t>Bai et al. 2012 JOURNAL OF GEOPHYSICAL RESEARCH, VOL. 117, D20113, doi:10.1029/2012JD017803, 2053</t>
  </si>
  <si>
    <t>Bai et al. 2012 JOURNAL OF GEOPHYSICAL RESEARCH, VOL. 117, D20113, doi:10.1029/2012JD017803, 2054</t>
  </si>
  <si>
    <t>Bai et al. 2012 JOURNAL OF GEOPHYSICAL RESEARCH, VOL. 117, D20113, doi:10.1029/2012JD017803, 2055</t>
  </si>
  <si>
    <t>Bai et al. 2012 JOURNAL OF GEOPHYSICAL RESEARCH, VOL. 117, D20113, doi:10.1029/2012JD017803, 2056</t>
  </si>
  <si>
    <t>Bai et al. 2012 JOURNAL OF GEOPHYSICAL RESEARCH, VOL. 117, D20113, doi:10.1029/2012JD017803, 2057</t>
  </si>
  <si>
    <t>Bai et al. 2012 JOURNAL OF GEOPHYSICAL RESEARCH, VOL. 117, D20113, doi:10.1029/2012JD017803, 2058</t>
  </si>
  <si>
    <t>Bai et al. 2012 JOURNAL OF GEOPHYSICAL RESEARCH, VOL. 117, D20113, doi:10.1029/2012JD017803, 2059</t>
  </si>
  <si>
    <t>Bai et al. 2012 JOURNAL OF GEOPHYSICAL RESEARCH, VOL. 117, D20113, doi:10.1029/2012JD017803, 2060</t>
  </si>
  <si>
    <t>Bai et al. 2012 JOURNAL OF GEOPHYSICAL RESEARCH, VOL. 117, D20113, doi:10.1029/2012JD017803, 2061</t>
  </si>
  <si>
    <t>Bai et al. 2012 JOURNAL OF GEOPHYSICAL RESEARCH, VOL. 117, D20113, doi:10.1029/2012JD017803, 2062</t>
  </si>
  <si>
    <t>Bai et al. 2012 JOURNAL OF GEOPHYSICAL RESEARCH, VOL. 117, D20113, doi:10.1029/2012JD017803, 2063</t>
  </si>
  <si>
    <t>Bai et al. 2012 JOURNAL OF GEOPHYSICAL RESEARCH, VOL. 117, D20113, doi:10.1029/2012JD017803, 2064</t>
  </si>
  <si>
    <t>Bai et al. 2012 JOURNAL OF GEOPHYSICAL RESEARCH, VOL. 117, D20113, doi:10.1029/2012JD017803, 2065</t>
  </si>
  <si>
    <t>Bai et al. 2012 JOURNAL OF GEOPHYSICAL RESEARCH, VOL. 117, D20113, doi:10.1029/2012JD017803, 2066</t>
  </si>
  <si>
    <t>Bai et al. 2012 JOURNAL OF GEOPHYSICAL RESEARCH, VOL. 117, D20113, doi:10.1029/2012JD017803, 2067</t>
  </si>
  <si>
    <t>Bai et al. 2012 JOURNAL OF GEOPHYSICAL RESEARCH, VOL. 117, D20113, doi:10.1029/2012JD017803, 2068</t>
  </si>
  <si>
    <t>Bai et al. 2012 JOURNAL OF GEOPHYSICAL RESEARCH, VOL. 117, D20113, doi:10.1029/2012JD017803, 2069</t>
  </si>
  <si>
    <t>Bai et al. 2012 JOURNAL OF GEOPHYSICAL RESEARCH, VOL. 117, D20113, doi:10.1029/2012JD017803, 2070</t>
  </si>
  <si>
    <t>Bai et al. 2012 JOURNAL OF GEOPHYSICAL RESEARCH, VOL. 117, D20113, doi:10.1029/2012JD017803, 2071</t>
  </si>
  <si>
    <t>Bai et al. 2012 JOURNAL OF GEOPHYSICAL RESEARCH, VOL. 117, D20113, doi:10.1029/2012JD017803, 2072</t>
  </si>
  <si>
    <t>Bai et al. 2012 JOURNAL OF GEOPHYSICAL RESEARCH, VOL. 117, D20113, doi:10.1029/2012JD017803, 2073</t>
  </si>
  <si>
    <t>Bai et al. 2012 JOURNAL OF GEOPHYSICAL RESEARCH, VOL. 117, D20113, doi:10.1029/2012JD017803, 2074</t>
  </si>
  <si>
    <t>Bai et al. 2012 JOURNAL OF GEOPHYSICAL RESEARCH, VOL. 117, D20113, doi:10.1029/2012JD017803, 2075</t>
  </si>
  <si>
    <t>Bai et al. 2012 JOURNAL OF GEOPHYSICAL RESEARCH, VOL. 117, D20113, doi:10.1029/2012JD017803, 2076</t>
  </si>
  <si>
    <t>Bai et al. 2012 JOURNAL OF GEOPHYSICAL RESEARCH, VOL. 117, D20113, doi:10.1029/2012JD017803, 2077</t>
  </si>
  <si>
    <t>Bai et al. 2012 JOURNAL OF GEOPHYSICAL RESEARCH, VOL. 117, D20113, doi:10.1029/2012JD017803, 2078</t>
  </si>
  <si>
    <t>Bai et al. 2012 JOURNAL OF GEOPHYSICAL RESEARCH, VOL. 117, D20113, doi:10.1029/2012JD017803, 2079</t>
  </si>
  <si>
    <t>Bai et al. 2012 JOURNAL OF GEOPHYSICAL RESEARCH, VOL. 117, D20113, doi:10.1029/2012JD017803, 2080</t>
  </si>
  <si>
    <t xml:space="preserve">n-Alkanes hydrogen isotopes in soil from the northern region, Tibetan Plateau: Implications for sources of organic matter. LI Cun-lin1,2,3, MA Su-ping1,2*, CHANG Fu-xuan4 , HE Xiao-bo1,5, WANG Li-hui1,3,5.  中国环境科学 2019,39(5) China Environmental Sciences：2095~2105 </t>
  </si>
  <si>
    <t>LC16N</t>
  </si>
  <si>
    <t>LC17N</t>
  </si>
  <si>
    <t>LC18N</t>
  </si>
  <si>
    <t>LC19N</t>
  </si>
  <si>
    <t>LC21N</t>
  </si>
  <si>
    <t>LC22N</t>
  </si>
  <si>
    <t>LC23N</t>
  </si>
  <si>
    <t>LC24N</t>
  </si>
  <si>
    <t>LC25N</t>
  </si>
  <si>
    <t>LC26N</t>
  </si>
  <si>
    <t>LC27N</t>
  </si>
  <si>
    <t>LC28N</t>
  </si>
  <si>
    <t>LC29N</t>
  </si>
  <si>
    <t>LC31N</t>
  </si>
  <si>
    <t>LC32N</t>
  </si>
  <si>
    <t>LC33N</t>
  </si>
  <si>
    <t>LC34N</t>
  </si>
  <si>
    <t>LC35N</t>
  </si>
  <si>
    <t>LC36N</t>
  </si>
  <si>
    <t>LC37N</t>
  </si>
  <si>
    <t>LC38N</t>
  </si>
  <si>
    <t>LC39N</t>
  </si>
  <si>
    <t>LC14N</t>
  </si>
  <si>
    <t>LC40N</t>
  </si>
  <si>
    <t>LC41N</t>
  </si>
  <si>
    <t>LC42N</t>
  </si>
  <si>
    <t>LC13N</t>
  </si>
  <si>
    <t>LC43N</t>
  </si>
  <si>
    <t>LC45N</t>
  </si>
  <si>
    <t>LC57N</t>
  </si>
  <si>
    <t>LC58N</t>
  </si>
  <si>
    <t>LC59N</t>
  </si>
  <si>
    <t>LC60N</t>
  </si>
  <si>
    <t>LC61N</t>
  </si>
  <si>
    <t>LC62N</t>
  </si>
  <si>
    <t>LC63N</t>
  </si>
  <si>
    <t>LC64N</t>
  </si>
  <si>
    <t>LC65N</t>
  </si>
  <si>
    <t>LC66N</t>
  </si>
  <si>
    <t>LC67N</t>
  </si>
  <si>
    <t>LC68N</t>
  </si>
  <si>
    <t>LC69N</t>
  </si>
  <si>
    <t>LC70N</t>
  </si>
  <si>
    <t>LC71N</t>
  </si>
  <si>
    <t>NL-1</t>
  </si>
  <si>
    <t>NL-3</t>
  </si>
  <si>
    <t>NL-7</t>
  </si>
  <si>
    <t>NL-8</t>
  </si>
  <si>
    <t>NL-9</t>
  </si>
  <si>
    <t>NL-10</t>
  </si>
  <si>
    <t>NL-11</t>
  </si>
  <si>
    <t>NL-13</t>
  </si>
  <si>
    <t>NL-14</t>
  </si>
  <si>
    <t>NL-15</t>
  </si>
  <si>
    <t>NL-16</t>
  </si>
  <si>
    <t>NL-18</t>
  </si>
  <si>
    <t>NL-19</t>
  </si>
  <si>
    <t>NL-20</t>
  </si>
  <si>
    <t>NL-21</t>
  </si>
  <si>
    <t>NL-22</t>
  </si>
  <si>
    <t>NL-24</t>
  </si>
  <si>
    <t>NL-25</t>
  </si>
  <si>
    <t>NL-26</t>
  </si>
  <si>
    <t>NL-27</t>
  </si>
  <si>
    <t>NL-28</t>
  </si>
  <si>
    <t>NL-29</t>
  </si>
  <si>
    <t>NL-31</t>
  </si>
  <si>
    <t>NL-33</t>
  </si>
  <si>
    <t>NL-34</t>
  </si>
  <si>
    <t>NL-35</t>
  </si>
  <si>
    <t>NL-36</t>
  </si>
  <si>
    <t>NL-37</t>
  </si>
  <si>
    <t>NL-38</t>
  </si>
  <si>
    <t>NL-39</t>
  </si>
  <si>
    <t>NL-40</t>
  </si>
  <si>
    <t>NL-41</t>
  </si>
  <si>
    <t>grit</t>
  </si>
  <si>
    <t>yellow brown soil</t>
  </si>
  <si>
    <t xml:space="preserve">Floodplain gravel </t>
  </si>
  <si>
    <t>yellow brown soil+gravel</t>
  </si>
  <si>
    <t xml:space="preserve">The red brown soil </t>
  </si>
  <si>
    <t xml:space="preserve">The red  soil </t>
  </si>
  <si>
    <t>soil</t>
  </si>
  <si>
    <t>The red brown soil +gravel</t>
  </si>
  <si>
    <t>gravel</t>
  </si>
  <si>
    <t>Bai et al. 2015 Geochimica et Cosmochimica Acta
Volume 170, 1 December 2015, Pages 94-107</t>
  </si>
  <si>
    <t>Bai et al. 2015 Geochimica et Cosmochimica Acta
Volume 170, 1 December 2015, Pages 94-108</t>
  </si>
  <si>
    <t>Bai et al. 2015 Geochimica et Cosmochimica Acta
Volume 170, 1 December 2015, Pages 94-109</t>
  </si>
  <si>
    <t>Bai et al. 2015 Geochimica et Cosmochimica Acta
Volume 170, 1 December 2015, Pages 94-110</t>
  </si>
  <si>
    <t>Bai et al. 2015 Geochimica et Cosmochimica Acta
Volume 170, 1 December 2015, Pages 94-111</t>
  </si>
  <si>
    <t>Bai et al. 2015 Geochimica et Cosmochimica Acta
Volume 170, 1 December 2015, Pages 94-112</t>
  </si>
  <si>
    <t>Bai et al. 2015 Geochimica et Cosmochimica Acta
Volume 170, 1 December 2015, Pages 94-113</t>
  </si>
  <si>
    <t>Bai et al. 2015 Geochimica et Cosmochimica Acta
Volume 170, 1 December 2015, Pages 94-114</t>
  </si>
  <si>
    <t>Bai et al. 2015 Geochimica et Cosmochimica Acta
Volume 170, 1 December 2015, Pages 94-115</t>
  </si>
  <si>
    <t>Bai et al. 2015 Geochimica et Cosmochimica Acta
Volume 170, 1 December 2015, Pages 94-116</t>
  </si>
  <si>
    <t>Bai et al. 2015 Geochimica et Cosmochimica Acta
Volume 170, 1 December 2015, Pages 94-117</t>
  </si>
  <si>
    <t>Bai et al. 2015 Geochimica et Cosmochimica Acta
Volume 170, 1 December 2015, Pages 94-118</t>
  </si>
  <si>
    <t>Bai et al. 2015 Geochimica et Cosmochimica Acta
Volume 170, 1 December 2015, Pages 94-119</t>
  </si>
  <si>
    <t>Bai et al. 2015 Geochimica et Cosmochimica Acta
Volume 170, 1 December 2015, Pages 94-120</t>
  </si>
  <si>
    <t>Bai et al. 2015 Geochimica et Cosmochimica Acta
Volume 170, 1 December 2015, Pages 94-121</t>
  </si>
  <si>
    <t>Bai et al. 2015 Geochimica et Cosmochimica Acta
Volume 170, 1 December 2015, Pages 94-122</t>
  </si>
  <si>
    <t>Bai et al. 2015 Geochimica et Cosmochimica Acta
Volume 170, 1 December 2015, Pages 94-123</t>
  </si>
  <si>
    <t>Bai et al. 2015 Geochimica et Cosmochimica Acta
Volume 170, 1 December 2015, Pages 94-124</t>
  </si>
  <si>
    <t>Bai et al. 2015 Geochimica et Cosmochimica Acta
Volume 170, 1 December 2015, Pages 94-125</t>
  </si>
  <si>
    <t>Bai et al. 2015 Geochimica et Cosmochimica Acta
Volume 170, 1 December 2015, Pages 94-126</t>
  </si>
  <si>
    <t>Bai et al. 2015 Geochimica et Cosmochimica Acta
Volume 170, 1 December 2015, Pages 94-127</t>
  </si>
  <si>
    <t>Bai et al. 2015 Geochimica et Cosmochimica Acta
Volume 170, 1 December 2015, Pages 94-128</t>
  </si>
  <si>
    <t>Bai et al. 2015 Geochimica et Cosmochimica Acta
Volume 170, 1 December 2015, Pages 94-129</t>
  </si>
  <si>
    <t>Bai et al. 2015 Geochimica et Cosmochimica Acta
Volume 170, 1 December 2015, Pages 94-130</t>
  </si>
  <si>
    <t>Bai et al. 2015 Geochimica et Cosmochimica Acta
Volume 170, 1 December 2015, Pages 94-131</t>
  </si>
  <si>
    <t>Bai et al. 2015 Geochimica et Cosmochimica Acta
Volume 170, 1 December 2015, Pages 94-132</t>
  </si>
  <si>
    <t>Bai et al. 2015 Geochimica et Cosmochimica Acta
Volume 170, 1 December 2015, Pages 94-133</t>
  </si>
  <si>
    <t>Bai et al. 2015 Geochimica et Cosmochimica Acta
Volume 170, 1 December 2015, Pages 94-134</t>
  </si>
  <si>
    <t>Bai et al. 2015 Geochimica et Cosmochimica Acta
Volume 170, 1 December 2015, Pages 94-135</t>
  </si>
  <si>
    <t>Bai et al. 2015 Geochimica et Cosmochimica Acta
Volume 170, 1 December 2015, Pages 94-136</t>
  </si>
  <si>
    <t>Bai et al. 2015 Geochimica et Cosmochimica Acta
Volume 170, 1 December 2015, Pages 94-137</t>
  </si>
  <si>
    <t>Bai et al. 2015 Geochimica et Cosmochimica Acta
Volume 170, 1 December 2015, Pages 94-138</t>
  </si>
  <si>
    <t>Bai et al. 2015 Geochimica et Cosmochimica Acta
Volume 170, 1 December 2015, Pages 94-139</t>
  </si>
  <si>
    <t>Bai et al. 2015 Geochimica et Cosmochimica Acta
Volume 170, 1 December 2015, Pages 94-140</t>
  </si>
  <si>
    <t>Bai et al. 2015 Geochimica et Cosmochimica Acta
Volume 170, 1 December 2015, Pages 94-141</t>
  </si>
  <si>
    <t>Bai et al. 2015 Geochimica et Cosmochimica Acta
Volume 170, 1 December 2015, Pages 94-142</t>
  </si>
  <si>
    <t>Bai et al. 2015 Geochimica et Cosmochimica Acta
Volume 170, 1 December 2015, Pages 94-143</t>
  </si>
  <si>
    <t>Bai et al. 2015 Geochimica et Cosmochimica Acta
Volume 170, 1 December 2015, Pages 94-144</t>
  </si>
  <si>
    <t>Bai et al. 2015 Geochimica et Cosmochimica Acta
Volume 170, 1 December 2015, Pages 94-145</t>
  </si>
  <si>
    <t>Bai et al. 2015 Geochimica et Cosmochimica Acta
Volume 170, 1 December 2015, Pages 94-146</t>
  </si>
  <si>
    <t>Bai et al. 2015 Geochimica et Cosmochimica Acta
Volume 170, 1 December 2015, Pages 94-147</t>
  </si>
  <si>
    <t>Bai et al. 2015 Geochimica et Cosmochimica Acta
Volume 170, 1 December 2015, Pages 94-148</t>
  </si>
  <si>
    <t>Bai et al. 2015 Geochimica et Cosmochimica Acta
Volume 170, 1 December 2015, Pages 94-149</t>
  </si>
  <si>
    <t>Bai et al. 2015 Geochimica et Cosmochimica Acta
Volume 170, 1 December 2015, Pages 94-150</t>
  </si>
  <si>
    <t>Bai et al. 2015 Geochimica et Cosmochimica Acta
Volume 170, 1 December 2015, Pages 94-151</t>
  </si>
  <si>
    <t>Bai et al. 2015 Geochimica et Cosmochimica Acta
Volume 170, 1 December 2015, Pages 94-152</t>
  </si>
  <si>
    <t>Bai et al. 2015 Geochimica et Cosmochimica Acta
Volume 170, 1 December 2015, Pages 94-153</t>
  </si>
  <si>
    <t>Bai et al. 2015 Geochimica et Cosmochimica Acta
Volume 170, 1 December 2015, Pages 94-154</t>
  </si>
  <si>
    <t>Bai et al. 2015 Geochimica et Cosmochimica Acta
Volume 170, 1 December 2015, Pages 94-155</t>
  </si>
  <si>
    <t>Bai et al. 2015 Geochimica et Cosmochimica Acta
Volume 170, 1 December 2015, Pages 94-156</t>
  </si>
  <si>
    <t>Bai et al. 2015 Geochimica et Cosmochimica Acta
Volume 170, 1 December 2015, Pages 94-157</t>
  </si>
  <si>
    <t>Bai et al. 2015 Geochimica et Cosmochimica Acta
Volume 170, 1 December 2015, Pages 94-158</t>
  </si>
  <si>
    <t>Bai et al. 2015 Geochimica et Cosmochimica Acta
Volume 170, 1 December 2015, Pages 94-159</t>
  </si>
  <si>
    <t>Bai et al. 2015 Geochimica et Cosmochimica Acta
Volume 170, 1 December 2015, Pages 94-160</t>
  </si>
  <si>
    <t>Bai et al. 2015 Geochimica et Cosmochimica Acta
Volume 170, 1 December 2015, Pages 94-161</t>
  </si>
  <si>
    <t>Bai et al. 2015 Geochimica et Cosmochimica Acta
Volume 170, 1 December 2015, Pages 94-162</t>
  </si>
  <si>
    <t>Bai et al. 2015 Geochimica et Cosmochimica Acta
Volume 170, 1 December 2015, Pages 94-163</t>
  </si>
  <si>
    <t>Bai et al. 2015 Geochimica et Cosmochimica Acta
Volume 170, 1 December 2015, Pages 94-164</t>
  </si>
  <si>
    <t>Bai et al. 2015 Geochimica et Cosmochimica Acta
Volume 170, 1 December 2015, Pages 94-165</t>
  </si>
  <si>
    <t>Bai et al. 2015 Geochimica et Cosmochimica Acta
Volume 170, 1 December 2015, Pages 94-166</t>
  </si>
  <si>
    <t>Bai et al. 2015 Geochimica et Cosmochimica Acta
Volume 170, 1 December 2015, Pages 94-167</t>
  </si>
  <si>
    <t>Bai et al. 2015 Geochimica et Cosmochimica Acta
Volume 170, 1 December 2015, Pages 94-168</t>
  </si>
  <si>
    <t>Bai et al. 2015 Geochimica et Cosmochimica Acta
Volume 170, 1 December 2015, Pages 94-169</t>
  </si>
  <si>
    <t>Bai et al. 2015 Geochimica et Cosmochimica Acta
Volume 170, 1 December 2015, Pages 94-170</t>
  </si>
  <si>
    <t>Bai et al. 2015 Geochimica et Cosmochimica Acta
Volume 170, 1 December 2015, Pages 94-171</t>
  </si>
  <si>
    <t>Bai et al. 2015 Geochimica et Cosmochimica Acta
Volume 170, 1 December 2015, Pages 94-172</t>
  </si>
  <si>
    <t>Bai et al. 2015 Geochimica et Cosmochimica Acta
Volume 170, 1 December 2015, Pages 94-173</t>
  </si>
  <si>
    <t>Bai et al. 2015 Geochimica et Cosmochimica Acta
Volume 170, 1 December 2015, Pages 94-174</t>
  </si>
  <si>
    <t>Bai et al. 2015 Geochimica et Cosmochimica Acta
Volume 170, 1 December 2015, Pages 94-175</t>
  </si>
  <si>
    <t>Bai et al. 2015 Geochimica et Cosmochimica Acta
Volume 170, 1 December 2015, Pages 94-176</t>
  </si>
  <si>
    <t>Bai et al. 2015 Geochimica et Cosmochimica Acta
Volume 170, 1 December 2015, Pages 94-177</t>
  </si>
  <si>
    <t>Bai et al. 2015 Geochimica et Cosmochimica Acta
Volume 170, 1 December 2015, Pages 94-178</t>
  </si>
  <si>
    <t>Bai et al. 2015 Geochimica et Cosmochimica Acta
Volume 170, 1 December 2015, Pages 94-179</t>
  </si>
  <si>
    <t>Bai et al. 2015 Geochimica et Cosmochimica Acta
Volume 170, 1 December 2015, Pages 94-180</t>
  </si>
  <si>
    <t>Bai et al. 2015 Geochimica et Cosmochimica Acta
Volume 170, 1 December 2015, Pages 94-181</t>
  </si>
  <si>
    <t>Bai et al. 2015 Geochimica et Cosmochimica Acta
Volume 170, 1 December 2015, Pages 94-182</t>
  </si>
  <si>
    <t>Bai et al. 2015 Geochimica et Cosmochimica Acta
Volume 170, 1 December 2015, Pages 94-183</t>
  </si>
  <si>
    <t>Bai et al. 2015 Geochimica et Cosmochimica Acta
Volume 170, 1 December 2015, Pages 94-184</t>
  </si>
  <si>
    <t>Bai et al. 2015 Geochimica et Cosmochimica Acta
Volume 170, 1 December 2015, Pages 94-185</t>
  </si>
  <si>
    <t>TR-1301</t>
  </si>
  <si>
    <t>TR-1302</t>
  </si>
  <si>
    <t>TR-1303</t>
  </si>
  <si>
    <t>TR-1304</t>
  </si>
  <si>
    <t>TR-1306</t>
  </si>
  <si>
    <t>TR-1308</t>
  </si>
  <si>
    <t>TR-1309</t>
  </si>
  <si>
    <t>TR-1310</t>
  </si>
  <si>
    <t>TR-1311</t>
  </si>
  <si>
    <t>TR-1312</t>
  </si>
  <si>
    <t>JD-13-10A</t>
  </si>
  <si>
    <t>JD-13-17A</t>
  </si>
  <si>
    <t>DEQ-13-01</t>
  </si>
  <si>
    <t>DEQ-13-02</t>
  </si>
  <si>
    <t>DEQ-13-03</t>
  </si>
  <si>
    <t>XIS-13-01</t>
  </si>
  <si>
    <t>XIS-13-02</t>
  </si>
  <si>
    <t>XIS-13-03</t>
  </si>
  <si>
    <t>CH-11-03</t>
  </si>
  <si>
    <t>CH-11-04</t>
  </si>
  <si>
    <t>CH-11-06</t>
  </si>
  <si>
    <t>CH-11-07</t>
  </si>
  <si>
    <t>CH-11-08</t>
  </si>
  <si>
    <t>CH-11-09</t>
  </si>
  <si>
    <t>CH-11-10</t>
  </si>
  <si>
    <t>CH-11-11</t>
  </si>
  <si>
    <t>CH-11-12</t>
  </si>
  <si>
    <t>CH-11-14</t>
  </si>
  <si>
    <t>CH-11-15</t>
  </si>
  <si>
    <t>CH-11-16</t>
  </si>
  <si>
    <t>CH-11-17</t>
  </si>
  <si>
    <t>CH-11-18</t>
  </si>
  <si>
    <t>CH-11-19</t>
  </si>
  <si>
    <t>CH-11-20</t>
  </si>
  <si>
    <t>CH-11-21</t>
  </si>
  <si>
    <t>-</t>
  </si>
  <si>
    <t>Wang et al. 2017</t>
  </si>
  <si>
    <t>TS-1</t>
  </si>
  <si>
    <t>TS-2</t>
  </si>
  <si>
    <t>TS-3</t>
  </si>
  <si>
    <t>TS-4</t>
  </si>
  <si>
    <t>TS-5</t>
  </si>
  <si>
    <t>TS-6</t>
  </si>
  <si>
    <t>TS-7</t>
  </si>
  <si>
    <t>TS-8</t>
  </si>
  <si>
    <t>TS-9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</si>
  <si>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</si>
  <si>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</si>
  <si>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</si>
  <si>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</si>
  <si>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</si>
  <si>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</si>
  <si>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</si>
  <si>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</si>
  <si>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</si>
  <si>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</si>
  <si>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</si>
  <si>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</si>
  <si>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</si>
  <si>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</si>
  <si>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</si>
  <si>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</si>
  <si>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</si>
  <si>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</si>
  <si>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</si>
  <si>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</si>
  <si>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</si>
  <si>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</si>
  <si>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</si>
  <si>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</si>
  <si>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</si>
  <si>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</si>
  <si>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</si>
  <si>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</si>
  <si>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</si>
  <si>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</si>
  <si>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</si>
  <si>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</si>
  <si>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</si>
  <si>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</si>
  <si>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</si>
  <si>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</si>
  <si>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TS-46</t>
  </si>
  <si>
    <t>TS-47</t>
  </si>
  <si>
    <t>TS-48</t>
  </si>
  <si>
    <t>TS-49</t>
  </si>
  <si>
    <t>Lake Qiangyong Glacier</t>
  </si>
  <si>
    <t>Lake Kongmu Co</t>
  </si>
  <si>
    <t>Lake Nam Co</t>
  </si>
  <si>
    <t>Lake Keluke</t>
  </si>
  <si>
    <t>Lake Xiao Qaidam</t>
  </si>
  <si>
    <t>Koucha Lake</t>
  </si>
  <si>
    <t>Qaidam (Qai-07)</t>
  </si>
  <si>
    <t>MiY-39</t>
  </si>
  <si>
    <t>CTP-20</t>
  </si>
  <si>
    <t>MiY-42</t>
  </si>
  <si>
    <t>LC-10</t>
  </si>
  <si>
    <t>(Lake Qinghai)QM-1</t>
  </si>
  <si>
    <t>QM-2</t>
  </si>
  <si>
    <t>QM-6</t>
  </si>
  <si>
    <t>QM-9</t>
  </si>
  <si>
    <t>QM-13</t>
  </si>
  <si>
    <t>QM-15</t>
  </si>
  <si>
    <t>QM-17</t>
  </si>
  <si>
    <t>QM-20</t>
  </si>
  <si>
    <t>XDT-10</t>
  </si>
  <si>
    <t>KLS-10</t>
  </si>
  <si>
    <t>BDQ-10</t>
  </si>
  <si>
    <t>CME-10</t>
  </si>
  <si>
    <t>WDL-10</t>
  </si>
  <si>
    <t>FHS-10</t>
  </si>
  <si>
    <t>TTH-10</t>
  </si>
  <si>
    <t>KXL-10</t>
  </si>
  <si>
    <t>TG-10</t>
  </si>
  <si>
    <t>WQ-10</t>
  </si>
  <si>
    <t>BZZ-10</t>
  </si>
  <si>
    <t>TG1-10</t>
  </si>
  <si>
    <t>TG2-10</t>
  </si>
  <si>
    <t>TG3-10</t>
  </si>
  <si>
    <t>DF-10</t>
  </si>
  <si>
    <t>HCZ-10</t>
  </si>
  <si>
    <t>Type</t>
  </si>
  <si>
    <t>lake sed</t>
  </si>
  <si>
    <t>Source</t>
  </si>
  <si>
    <t>Longitude</t>
  </si>
  <si>
    <t>Latitude</t>
  </si>
  <si>
    <t>COMMENTS --&gt;</t>
  </si>
  <si>
    <t>%</t>
  </si>
  <si>
    <t>Xia et al. [2008]; C from Mügler et al. [2008]; D from Aichner et al. [2010]</t>
  </si>
  <si>
    <t>Sample</t>
  </si>
  <si>
    <t>II</t>
  </si>
  <si>
    <t>% lake</t>
  </si>
  <si>
    <t>% Flag</t>
  </si>
  <si>
    <t>% column % Flag: Rows where this cell has a leading "%" symbol are ignored.</t>
  </si>
  <si>
    <r>
      <t>d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H C</t>
    </r>
    <r>
      <rPr>
        <b/>
        <vertAlign val="subscript"/>
        <sz val="12"/>
        <color theme="1"/>
        <rFont val="Arial"/>
        <family val="2"/>
      </rPr>
      <t>27</t>
    </r>
  </si>
  <si>
    <r>
      <t>d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H C</t>
    </r>
    <r>
      <rPr>
        <b/>
        <vertAlign val="subscript"/>
        <sz val="12"/>
        <color theme="1"/>
        <rFont val="Arial"/>
        <family val="2"/>
      </rPr>
      <t>29</t>
    </r>
  </si>
  <si>
    <r>
      <t>d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H C</t>
    </r>
    <r>
      <rPr>
        <b/>
        <vertAlign val="subscript"/>
        <sz val="12"/>
        <color theme="1"/>
        <rFont val="Arial"/>
        <family val="2"/>
      </rPr>
      <t>31</t>
    </r>
  </si>
  <si>
    <t>% Missing lon, lat</t>
  </si>
  <si>
    <t>% lake, bad location</t>
  </si>
  <si>
    <t>% lake, no location</t>
  </si>
  <si>
    <t>% Screening Data</t>
  </si>
  <si>
    <t>%... Modern leaf-wax samples eastern Himalaya-Tibet region, All samples</t>
  </si>
  <si>
    <t>Drainage</t>
  </si>
  <si>
    <t>Record No.</t>
  </si>
  <si>
    <t>Brahmaputra</t>
  </si>
  <si>
    <t>Yangtze</t>
  </si>
  <si>
    <t>Ob</t>
  </si>
  <si>
    <t>X</t>
  </si>
  <si>
    <t>Mekong</t>
  </si>
  <si>
    <t>% Michael Hren and Mark Brandon, 2023</t>
  </si>
  <si>
    <t>Replicates</t>
  </si>
  <si>
    <r>
      <t>SE(d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H, C</t>
    </r>
    <r>
      <rPr>
        <b/>
        <vertAlign val="subscript"/>
        <sz val="12"/>
        <color theme="1"/>
        <rFont val="Arial"/>
        <family val="2"/>
      </rPr>
      <t>29</t>
    </r>
    <r>
      <rPr>
        <b/>
        <sz val="12"/>
        <color theme="1"/>
        <rFont val="Arial"/>
        <family val="2"/>
      </rPr>
      <t>)</t>
    </r>
  </si>
  <si>
    <t>Reported Elev (m)</t>
  </si>
  <si>
    <t>Group</t>
  </si>
  <si>
    <t>n</t>
  </si>
  <si>
    <t>% Ignoring samples from lakes</t>
  </si>
  <si>
    <t>Standard Error Calculation, Modern data</t>
  </si>
  <si>
    <t>% Sample</t>
  </si>
  <si>
    <t>d2HC29</t>
  </si>
  <si>
    <t>Sum Squares</t>
  </si>
  <si>
    <t>Average n =</t>
  </si>
  <si>
    <t>Typical SE =</t>
  </si>
  <si>
    <t xml:space="preserve">SD* </t>
  </si>
  <si>
    <t>Pooled SD =</t>
  </si>
  <si>
    <t>*SD, as reported, appears to be simply the sample standard deviation with (n - 1)</t>
  </si>
  <si>
    <t>Sources</t>
  </si>
  <si>
    <t>Bai et al., 2015, Wang et al. 2017</t>
  </si>
  <si>
    <r>
      <t>% column SE(d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H, C</t>
    </r>
    <r>
      <rPr>
        <vertAlign val="subscript"/>
        <sz val="12"/>
        <color theme="1"/>
        <rFont val="Arial"/>
        <family val="2"/>
      </rPr>
      <t>29</t>
    </r>
    <r>
      <rPr>
        <sz val="12"/>
        <color theme="1"/>
        <rFont val="Arial"/>
        <family val="2"/>
      </rPr>
      <t xml:space="preserve">): Standard error is estimated using pooled standard deviation =  3.5 per mil, and number of replicates for the sample (see "SE Calculation" sheet). </t>
    </r>
  </si>
  <si>
    <t>% column epsilon(C29): refers to factionation factor, determined by d2H(C29) and d2Hp from OPI, using:  (1 + epsilon) = (1 + d2H_C29) / (1+ d2H_water)</t>
  </si>
  <si>
    <t>% outside topo grid</t>
  </si>
  <si>
    <t>% column Local d2Hp: OPI predictions for local d2H precipitation</t>
  </si>
  <si>
    <t>Additional Reference Information</t>
  </si>
  <si>
    <t>% Outside of study area</t>
  </si>
  <si>
    <t>% This file is used as input for d2HWax_Versus_d2HPred.m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</si>
</sst>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12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name val="MS Sans Serif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bscript"/>
      <sz val="12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 applyAlignment="1">
      <alignment horizontal="left" vertical="top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shrinkToFit="1"/>
    </xf>
    <xf numFmtId="167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167" fontId="8" fillId="0" borderId="0" xfId="0" applyNumberFormat="1" applyFont="1" applyAlignment="1">
      <alignment horizontal="left" vertical="top"/>
    </xf>
    <xf numFmtId="167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 shrinkToFit="1"/>
    </xf>
    <xf numFmtId="0" fontId="8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/>
    </xf>
    <xf numFmtId="1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/>
    </xf>
  </cellXfs>
  <cellStyles count="2">
    <cellStyle name="Normal" xfId="0" builtinId="0"/>
    <cellStyle name="Normal 2" xfId="1" xr:uid="{BC104956-5138-F348-82F6-7B9D1F7DCD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213"/>
  <sheetViews>
    <sheetView tabSelected="1" zoomScale="70" zoomScaleNormal="70" workbookViewId="0">
      <selection activeCell="A56" sqref="A34:A56"/>
    </sheetView>
  </sheetViews>
  <sheetFormatPr baseColWidth="10" defaultColWidth="9" defaultRowHeight="16"/>
  <cols>
    <col min="1" max="1" width="21.796875" style="3" customWidth="1"/>
    <col min="2" max="2" width="22.796875" style="3" customWidth="1"/>
    <col min="3" max="3" width="15.3984375" style="3" customWidth="1"/>
    <col min="4" max="4" width="13" style="3" customWidth="1"/>
    <col min="5" max="5" width="11" style="3" customWidth="1"/>
    <col min="6" max="6" width="11.796875" style="3" customWidth="1"/>
    <col min="7" max="7" width="11.19921875" style="3" customWidth="1"/>
    <col min="8" max="8" width="14" style="3" customWidth="1"/>
    <col min="9" max="9" width="16.19921875" style="3" customWidth="1"/>
    <col min="10" max="10" width="12.59765625" style="3" customWidth="1"/>
    <col min="11" max="11" width="16.3984375" style="3" customWidth="1"/>
    <col min="12" max="13" width="22" style="3" customWidth="1"/>
    <col min="14" max="14" width="21.59765625" style="3" customWidth="1"/>
    <col min="15" max="15" width="147" style="3" customWidth="1"/>
    <col min="16" max="16" width="98.3984375" style="18" customWidth="1"/>
    <col min="17" max="17" width="17.59765625" style="15" customWidth="1"/>
    <col min="18" max="18" width="28.3984375" style="15" customWidth="1"/>
    <col min="19" max="19" width="28.3984375" style="13" customWidth="1"/>
    <col min="20" max="20" width="17" style="13" customWidth="1"/>
    <col min="21" max="21" width="9.19921875" style="13" customWidth="1"/>
    <col min="22" max="22" width="79" style="3" customWidth="1"/>
    <col min="23" max="23" width="2.19921875" style="3" customWidth="1"/>
    <col min="24" max="16384" width="9" style="3"/>
  </cols>
  <sheetData>
    <row r="1" spans="1:1023 1025:2047 2049:3071 3073:4095 4097:5119 5121:6143 6145:7167 7169:8191 8193:9215 9217:10239 10241:11263 11265:12287 12289:13311 13313:14335 14337:15359 15361:16375">
      <c r="A1" s="25" t="s">
        <v>375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1"/>
      <c r="Y1" s="1"/>
      <c r="Z1" s="1"/>
    </row>
    <row r="2" spans="1:1023 1025:2047 2049:3071 3073:4095 4097:5119 5121:6143 6145:7167 7169:8191 8193:9215 9217:10239 10241:11263 11265:12287 12289:13311 13313:14335 14337:15359 15361:16375">
      <c r="A2" s="25" t="s">
        <v>383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1"/>
      <c r="Y2" s="1"/>
      <c r="Z2" s="1"/>
    </row>
    <row r="3" spans="1:1023 1025:2047 2049:3071 3073:4095 4097:5119 5121:6143 6145:7167 7169:8191 8193:9215 9217:10239 10241:11263 11265:12287 12289:13311 13313:14335 14337:15359 15361:16375">
      <c r="A3" s="49" t="s">
        <v>407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1"/>
      <c r="Y3" s="1"/>
      <c r="Z3" s="1"/>
    </row>
    <row r="4" spans="1:1023 1025:2047 2049:3071 3073:4095 4097:5119 5121:6143 6145:7167 7169:8191 8193:9215 9217:10239 10241:11263 11265:12287 12289:13311 13313:14335 14337:15359 15361:16375" ht="19">
      <c r="A4" s="1" t="s">
        <v>401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1"/>
      <c r="Y4" s="1"/>
      <c r="Z4" s="1"/>
    </row>
    <row r="5" spans="1:1023 1025:2047 2049:3071 3073:4095 4097:5119 5121:6143 6145:7167 7169:8191 8193:9215 9217:10239 10241:11263 11265:12287 12289:13311 13313:14335 14337:15359 15361:16375">
      <c r="A5" s="1" t="s">
        <v>404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/>
      <c r="Y5" s="1"/>
      <c r="Z5" s="1"/>
    </row>
    <row r="6" spans="1:1023 1025:2047 2049:3071 3073:4095 4097:5119 5121:6143 6145:7167 7169:8191 8193:9215 9217:10239 10241:11263 11265:12287 12289:13311 13313:14335 14337:15359 15361:16375" s="1" customFormat="1">
      <c r="A6" s="1" t="s">
        <v>402</v>
      </c>
    </row>
    <row r="7" spans="1:1023 1025:2047 2049:3071 3073:4095 4097:5119 5121:6143 6145:7167 7169:8191 8193:9215 9217:10239 10241:11263 11265:12287 12289:13311 13313:14335 14337:15359 15361:16375">
      <c r="A7" s="25" t="s">
        <v>374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1"/>
      <c r="Y7" s="1"/>
      <c r="Z7" s="1"/>
    </row>
    <row r="8" spans="1:1023 1025:2047 2049:3071 3073:4095 4097:5119 5121:6143 6145:7167 7169:8191 8193:9215 9217:10239 10241:11263 11265:12287 12289:13311 13313:14335 14337:15359 15361:16375">
      <c r="A8" s="1" t="s">
        <v>367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/>
      <c r="Y8" s="1"/>
      <c r="Z8" s="1"/>
    </row>
    <row r="9" spans="1:1023 1025:2047 2049:3071 3073:4095 4097:5119 5121:6143 6145:7167 7169:8191 8193:9215 9217:10239 10241:11263 11265:12287 12289:13311 13313:14335 14337:15359 15361:16375">
      <c r="A9" s="1" t="s">
        <v>389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/>
      <c r="Y9" s="1"/>
      <c r="Z9" s="1"/>
    </row>
    <row r="10" spans="1:1023 1025:2047 2049:3071 3073:4095 4097:5119 5121:6143 6145:7167 7169:8191 8193:9215 9217:10239 10241:11263 11265:12287 12289:13311 13313:14335 14337:15359 15361:16375">
      <c r="A10" s="3" t="s">
        <v>361</v>
      </c>
      <c r="B10" s="1"/>
      <c r="C10" s="1"/>
      <c r="D10" s="1"/>
      <c r="E10" s="1"/>
      <c r="F10" s="1"/>
      <c r="G10" s="1"/>
      <c r="H10" s="1"/>
      <c r="I10" s="1"/>
      <c r="J10" s="1"/>
      <c r="K10" s="6" t="s">
        <v>360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1"/>
      <c r="Y10" s="1"/>
      <c r="Z10" s="1"/>
    </row>
    <row r="11" spans="1:1023 1025:2047 2049:3071 3073:4095 4097:5119 5121:6143 6145:7167 7169:8191 8193:9215 9217:10239 10241:11263 11265:12287 12289:13311 13313:14335 14337:15359 15361:16375" ht="4" customHeight="1">
      <c r="A11" s="3" t="s">
        <v>361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</row>
    <row r="12" spans="1:1023 1025:2047 2049:3071 3073:4095 4097:5119 5121:6143 6145:7167 7169:8191 8193:9215 9217:10239 10241:11263 11265:12287 12289:13311 13313:14335 14337:15359 15361:16375" s="4" customFormat="1" hidden="1">
      <c r="A12" s="4" t="s">
        <v>361</v>
      </c>
      <c r="D12" s="5"/>
      <c r="F12" s="6"/>
      <c r="G12" s="3"/>
      <c r="H12" s="3"/>
      <c r="K12" s="6" t="s">
        <v>360</v>
      </c>
      <c r="O12" s="5"/>
      <c r="Q12" s="6"/>
      <c r="R12" s="5"/>
      <c r="V12" s="5"/>
      <c r="W12" s="5"/>
      <c r="Y12" s="6"/>
      <c r="Z12" s="5"/>
      <c r="AD12" s="5"/>
      <c r="AE12" s="5"/>
      <c r="AG12" s="6"/>
      <c r="AH12" s="5"/>
      <c r="AL12" s="5"/>
      <c r="AM12" s="5"/>
      <c r="AO12" s="6"/>
      <c r="AP12" s="5"/>
      <c r="AT12" s="5"/>
      <c r="AU12" s="5"/>
      <c r="AW12" s="6"/>
      <c r="AX12" s="5"/>
      <c r="BB12" s="5"/>
      <c r="BC12" s="5"/>
      <c r="BE12" s="6"/>
      <c r="BF12" s="5"/>
      <c r="BJ12" s="5"/>
      <c r="BK12" s="5"/>
      <c r="BM12" s="6"/>
      <c r="BN12" s="5"/>
      <c r="BR12" s="5"/>
      <c r="BS12" s="5"/>
      <c r="BU12" s="6"/>
      <c r="BV12" s="5"/>
      <c r="BZ12" s="5"/>
      <c r="CA12" s="5"/>
      <c r="CC12" s="6"/>
      <c r="CD12" s="5"/>
      <c r="CH12" s="5"/>
      <c r="CI12" s="5"/>
      <c r="CK12" s="6"/>
      <c r="CL12" s="5"/>
      <c r="CP12" s="5"/>
      <c r="CQ12" s="5"/>
      <c r="CS12" s="6"/>
      <c r="CT12" s="5"/>
      <c r="CX12" s="5"/>
      <c r="CY12" s="5"/>
      <c r="DA12" s="6"/>
      <c r="DB12" s="5"/>
      <c r="DF12" s="5"/>
      <c r="DG12" s="5"/>
      <c r="DI12" s="6"/>
      <c r="DJ12" s="5"/>
      <c r="DN12" s="5"/>
      <c r="DO12" s="5"/>
      <c r="DQ12" s="6"/>
      <c r="DR12" s="5"/>
      <c r="DV12" s="5"/>
      <c r="DW12" s="5"/>
      <c r="DY12" s="6"/>
      <c r="DZ12" s="5"/>
      <c r="ED12" s="5"/>
      <c r="EE12" s="5"/>
      <c r="EG12" s="6"/>
      <c r="EH12" s="5"/>
      <c r="EL12" s="5"/>
      <c r="EM12" s="5"/>
      <c r="EO12" s="6"/>
      <c r="EP12" s="5"/>
      <c r="ET12" s="5"/>
      <c r="EU12" s="5"/>
      <c r="EW12" s="6"/>
      <c r="EX12" s="5"/>
      <c r="FB12" s="5"/>
      <c r="FC12" s="5"/>
      <c r="FE12" s="6"/>
      <c r="FF12" s="5"/>
      <c r="FJ12" s="5"/>
      <c r="FK12" s="5"/>
      <c r="FM12" s="6"/>
      <c r="FN12" s="5"/>
      <c r="FR12" s="5"/>
      <c r="FS12" s="5"/>
      <c r="FU12" s="6"/>
      <c r="FV12" s="5"/>
      <c r="FZ12" s="5"/>
      <c r="GA12" s="5"/>
      <c r="GC12" s="6"/>
      <c r="GD12" s="5"/>
      <c r="GH12" s="5"/>
      <c r="GI12" s="5"/>
      <c r="GK12" s="6"/>
      <c r="GL12" s="5"/>
      <c r="GP12" s="5"/>
      <c r="GQ12" s="5"/>
      <c r="GS12" s="6"/>
      <c r="GT12" s="5"/>
      <c r="GX12" s="5"/>
      <c r="GY12" s="5"/>
      <c r="HA12" s="6"/>
      <c r="HB12" s="5"/>
      <c r="HF12" s="5"/>
      <c r="HG12" s="5"/>
      <c r="HI12" s="6"/>
      <c r="HJ12" s="5"/>
      <c r="HN12" s="5"/>
      <c r="HO12" s="5"/>
      <c r="HQ12" s="6"/>
      <c r="HR12" s="5"/>
      <c r="HV12" s="5"/>
      <c r="HW12" s="5"/>
      <c r="HY12" s="6"/>
      <c r="HZ12" s="5"/>
      <c r="ID12" s="5"/>
      <c r="IE12" s="5"/>
      <c r="IG12" s="6"/>
      <c r="IH12" s="5"/>
      <c r="IL12" s="5"/>
      <c r="IM12" s="5"/>
      <c r="IO12" s="6"/>
      <c r="IP12" s="5"/>
      <c r="IT12" s="5"/>
      <c r="IU12" s="5"/>
      <c r="IW12" s="6"/>
      <c r="IX12" s="5"/>
      <c r="JB12" s="5"/>
      <c r="JC12" s="5"/>
      <c r="JE12" s="6"/>
      <c r="JF12" s="5"/>
      <c r="JJ12" s="5"/>
      <c r="JK12" s="5"/>
      <c r="JM12" s="6"/>
      <c r="JN12" s="5"/>
      <c r="JR12" s="5"/>
      <c r="JS12" s="5"/>
      <c r="JU12" s="6"/>
      <c r="JV12" s="5"/>
      <c r="JZ12" s="5"/>
      <c r="KA12" s="5"/>
      <c r="KC12" s="6"/>
      <c r="KD12" s="5"/>
      <c r="KH12" s="5"/>
      <c r="KI12" s="5"/>
      <c r="KK12" s="6"/>
      <c r="KL12" s="5"/>
      <c r="KP12" s="5"/>
      <c r="KQ12" s="5"/>
      <c r="KS12" s="6"/>
      <c r="KT12" s="5"/>
      <c r="KX12" s="5"/>
      <c r="KY12" s="5"/>
      <c r="LA12" s="6"/>
      <c r="LB12" s="5"/>
      <c r="LF12" s="5"/>
      <c r="LG12" s="5"/>
      <c r="LI12" s="6"/>
      <c r="LJ12" s="5"/>
      <c r="LN12" s="5"/>
      <c r="LO12" s="5"/>
      <c r="LQ12" s="6"/>
      <c r="LR12" s="5"/>
      <c r="LV12" s="5"/>
      <c r="LW12" s="5"/>
      <c r="LY12" s="6"/>
      <c r="LZ12" s="5"/>
      <c r="MD12" s="5"/>
      <c r="ME12" s="5"/>
      <c r="MG12" s="6"/>
      <c r="MH12" s="5"/>
      <c r="ML12" s="5"/>
      <c r="MM12" s="5"/>
      <c r="MO12" s="6"/>
      <c r="MP12" s="5"/>
      <c r="MT12" s="5"/>
      <c r="MU12" s="5"/>
      <c r="MW12" s="6"/>
      <c r="MX12" s="5"/>
      <c r="NB12" s="5"/>
      <c r="NC12" s="5"/>
      <c r="NE12" s="6"/>
      <c r="NF12" s="5"/>
      <c r="NJ12" s="5"/>
      <c r="NK12" s="5"/>
      <c r="NM12" s="6"/>
      <c r="NN12" s="5"/>
      <c r="NR12" s="5"/>
      <c r="NS12" s="5"/>
      <c r="NU12" s="6"/>
      <c r="NV12" s="5"/>
      <c r="NZ12" s="5"/>
      <c r="OA12" s="5"/>
      <c r="OC12" s="6"/>
      <c r="OD12" s="5"/>
      <c r="OH12" s="5"/>
      <c r="OI12" s="5"/>
      <c r="OK12" s="6"/>
      <c r="OL12" s="5"/>
      <c r="OP12" s="5"/>
      <c r="OQ12" s="5"/>
      <c r="OS12" s="6"/>
      <c r="OT12" s="5"/>
      <c r="OX12" s="5"/>
      <c r="OY12" s="5"/>
      <c r="PA12" s="6"/>
      <c r="PB12" s="5"/>
      <c r="PF12" s="5"/>
      <c r="PG12" s="5"/>
      <c r="PI12" s="6"/>
      <c r="PJ12" s="5"/>
      <c r="PN12" s="5"/>
      <c r="PO12" s="5"/>
      <c r="PQ12" s="6"/>
      <c r="PR12" s="5"/>
      <c r="PV12" s="5"/>
      <c r="PW12" s="5"/>
      <c r="PY12" s="6"/>
      <c r="PZ12" s="5"/>
      <c r="QD12" s="5"/>
      <c r="QE12" s="5"/>
      <c r="QG12" s="6"/>
      <c r="QH12" s="5"/>
      <c r="QL12" s="5"/>
      <c r="QM12" s="5"/>
      <c r="QO12" s="6"/>
      <c r="QP12" s="5"/>
      <c r="QT12" s="5"/>
      <c r="QU12" s="5"/>
      <c r="QW12" s="6"/>
      <c r="QX12" s="5"/>
      <c r="RB12" s="5"/>
      <c r="RC12" s="5"/>
      <c r="RE12" s="6"/>
      <c r="RF12" s="5"/>
      <c r="RJ12" s="5"/>
      <c r="RK12" s="5"/>
      <c r="RM12" s="6"/>
      <c r="RN12" s="5"/>
      <c r="RR12" s="5"/>
      <c r="RS12" s="5"/>
      <c r="RU12" s="6"/>
      <c r="RV12" s="5"/>
      <c r="RZ12" s="5"/>
      <c r="SA12" s="5"/>
      <c r="SC12" s="6"/>
      <c r="SD12" s="5"/>
      <c r="SH12" s="5"/>
      <c r="SI12" s="5"/>
      <c r="SK12" s="6"/>
      <c r="SL12" s="5"/>
      <c r="SP12" s="5"/>
      <c r="SQ12" s="5"/>
      <c r="SS12" s="6"/>
      <c r="ST12" s="5"/>
      <c r="SX12" s="5"/>
      <c r="SY12" s="5"/>
      <c r="TA12" s="6"/>
      <c r="TB12" s="5"/>
      <c r="TF12" s="5"/>
      <c r="TG12" s="5"/>
      <c r="TI12" s="6"/>
      <c r="TJ12" s="5"/>
      <c r="TN12" s="5"/>
      <c r="TO12" s="5"/>
      <c r="TQ12" s="6"/>
      <c r="TR12" s="5"/>
      <c r="TV12" s="5"/>
      <c r="TW12" s="5"/>
      <c r="TY12" s="6"/>
      <c r="TZ12" s="5"/>
      <c r="UD12" s="5"/>
      <c r="UE12" s="5"/>
      <c r="UG12" s="6"/>
      <c r="UH12" s="5"/>
      <c r="UL12" s="5"/>
      <c r="UM12" s="5"/>
      <c r="UO12" s="6"/>
      <c r="UP12" s="5"/>
      <c r="UT12" s="5"/>
      <c r="UU12" s="5"/>
      <c r="UW12" s="6"/>
      <c r="UX12" s="5"/>
      <c r="VB12" s="5"/>
      <c r="VC12" s="5"/>
      <c r="VE12" s="6"/>
      <c r="VF12" s="5"/>
      <c r="VJ12" s="5"/>
      <c r="VK12" s="5"/>
      <c r="VM12" s="6"/>
      <c r="VN12" s="5"/>
      <c r="VR12" s="5"/>
      <c r="VS12" s="5"/>
      <c r="VU12" s="6"/>
      <c r="VV12" s="5"/>
      <c r="VZ12" s="5"/>
      <c r="WA12" s="5"/>
      <c r="WC12" s="6"/>
      <c r="WD12" s="5"/>
      <c r="WH12" s="5"/>
      <c r="WI12" s="5"/>
      <c r="WK12" s="6"/>
      <c r="WL12" s="5"/>
      <c r="WP12" s="5"/>
      <c r="WQ12" s="5"/>
      <c r="WS12" s="6"/>
      <c r="WT12" s="5"/>
      <c r="WX12" s="5"/>
      <c r="WY12" s="5"/>
      <c r="XA12" s="6"/>
      <c r="XB12" s="5"/>
      <c r="XF12" s="5"/>
      <c r="XG12" s="5"/>
      <c r="XI12" s="6"/>
      <c r="XJ12" s="5"/>
      <c r="XN12" s="5"/>
      <c r="XO12" s="5"/>
      <c r="XQ12" s="6"/>
      <c r="XR12" s="5"/>
      <c r="XV12" s="5"/>
      <c r="XW12" s="5"/>
      <c r="XY12" s="6"/>
      <c r="XZ12" s="5"/>
      <c r="YD12" s="5"/>
      <c r="YE12" s="5"/>
      <c r="YG12" s="6"/>
      <c r="YH12" s="5"/>
      <c r="YL12" s="5"/>
      <c r="YM12" s="5"/>
      <c r="YO12" s="6"/>
      <c r="YP12" s="5"/>
      <c r="YT12" s="5"/>
      <c r="YU12" s="5"/>
      <c r="YW12" s="6"/>
      <c r="YX12" s="5"/>
      <c r="ZB12" s="5"/>
      <c r="ZC12" s="5"/>
      <c r="ZE12" s="6"/>
      <c r="ZF12" s="5"/>
      <c r="ZJ12" s="5"/>
      <c r="ZK12" s="5"/>
      <c r="ZM12" s="6"/>
      <c r="ZN12" s="5"/>
      <c r="ZR12" s="5"/>
      <c r="ZS12" s="5"/>
      <c r="ZU12" s="6"/>
      <c r="ZV12" s="5"/>
      <c r="ZZ12" s="5"/>
      <c r="AAA12" s="5"/>
      <c r="AAC12" s="6"/>
      <c r="AAD12" s="5"/>
      <c r="AAH12" s="5"/>
      <c r="AAI12" s="5"/>
      <c r="AAK12" s="6"/>
      <c r="AAL12" s="5"/>
      <c r="AAP12" s="5"/>
      <c r="AAQ12" s="5"/>
      <c r="AAS12" s="6"/>
      <c r="AAT12" s="5"/>
      <c r="AAX12" s="5"/>
      <c r="AAY12" s="5"/>
      <c r="ABA12" s="6"/>
      <c r="ABB12" s="5"/>
      <c r="ABF12" s="5"/>
      <c r="ABG12" s="5"/>
      <c r="ABI12" s="6"/>
      <c r="ABJ12" s="5"/>
      <c r="ABN12" s="5"/>
      <c r="ABO12" s="5"/>
      <c r="ABQ12" s="6"/>
      <c r="ABR12" s="5"/>
      <c r="ABV12" s="5"/>
      <c r="ABW12" s="5"/>
      <c r="ABY12" s="6"/>
      <c r="ABZ12" s="5"/>
      <c r="ACD12" s="5"/>
      <c r="ACE12" s="5"/>
      <c r="ACG12" s="6"/>
      <c r="ACH12" s="5"/>
      <c r="ACL12" s="5"/>
      <c r="ACM12" s="5"/>
      <c r="ACO12" s="6"/>
      <c r="ACP12" s="5"/>
      <c r="ACT12" s="5"/>
      <c r="ACU12" s="5"/>
      <c r="ACW12" s="6"/>
      <c r="ACX12" s="5"/>
      <c r="ADB12" s="5"/>
      <c r="ADC12" s="5"/>
      <c r="ADE12" s="6"/>
      <c r="ADF12" s="5"/>
      <c r="ADJ12" s="5"/>
      <c r="ADK12" s="5"/>
      <c r="ADM12" s="6"/>
      <c r="ADN12" s="5"/>
      <c r="ADR12" s="5"/>
      <c r="ADS12" s="5"/>
      <c r="ADU12" s="6"/>
      <c r="ADV12" s="5"/>
      <c r="ADZ12" s="5"/>
      <c r="AEA12" s="5"/>
      <c r="AEC12" s="6"/>
      <c r="AED12" s="5"/>
      <c r="AEH12" s="5"/>
      <c r="AEI12" s="5"/>
      <c r="AEK12" s="6"/>
      <c r="AEL12" s="5"/>
      <c r="AEP12" s="5"/>
      <c r="AEQ12" s="5"/>
      <c r="AES12" s="6"/>
      <c r="AET12" s="5"/>
      <c r="AEX12" s="5"/>
      <c r="AEY12" s="5"/>
      <c r="AFA12" s="6"/>
      <c r="AFB12" s="5"/>
      <c r="AFF12" s="5"/>
      <c r="AFG12" s="5"/>
      <c r="AFI12" s="6"/>
      <c r="AFJ12" s="5"/>
      <c r="AFN12" s="5"/>
      <c r="AFO12" s="5"/>
      <c r="AFQ12" s="6"/>
      <c r="AFR12" s="5"/>
      <c r="AFV12" s="5"/>
      <c r="AFW12" s="5"/>
      <c r="AFY12" s="6"/>
      <c r="AFZ12" s="5"/>
      <c r="AGD12" s="5"/>
      <c r="AGE12" s="5"/>
      <c r="AGG12" s="6"/>
      <c r="AGH12" s="5"/>
      <c r="AGL12" s="5"/>
      <c r="AGM12" s="5"/>
      <c r="AGO12" s="6"/>
      <c r="AGP12" s="5"/>
      <c r="AGT12" s="5"/>
      <c r="AGU12" s="5"/>
      <c r="AGW12" s="6"/>
      <c r="AGX12" s="5"/>
      <c r="AHB12" s="5"/>
      <c r="AHC12" s="5"/>
      <c r="AHE12" s="6"/>
      <c r="AHF12" s="5"/>
      <c r="AHJ12" s="5"/>
      <c r="AHK12" s="5"/>
      <c r="AHM12" s="6"/>
      <c r="AHN12" s="5"/>
      <c r="AHR12" s="5"/>
      <c r="AHS12" s="5"/>
      <c r="AHU12" s="6"/>
      <c r="AHV12" s="5"/>
      <c r="AHZ12" s="5"/>
      <c r="AIA12" s="5"/>
      <c r="AIC12" s="6"/>
      <c r="AID12" s="5"/>
      <c r="AIH12" s="5"/>
      <c r="AII12" s="5"/>
      <c r="AIK12" s="6"/>
      <c r="AIL12" s="5"/>
      <c r="AIP12" s="5"/>
      <c r="AIQ12" s="5"/>
      <c r="AIS12" s="6"/>
      <c r="AIT12" s="5"/>
      <c r="AIX12" s="5"/>
      <c r="AIY12" s="5"/>
      <c r="AJA12" s="6"/>
      <c r="AJB12" s="5"/>
      <c r="AJF12" s="5"/>
      <c r="AJG12" s="5"/>
      <c r="AJI12" s="6"/>
      <c r="AJJ12" s="5"/>
      <c r="AJN12" s="5"/>
      <c r="AJO12" s="5"/>
      <c r="AJQ12" s="6"/>
      <c r="AJR12" s="5"/>
      <c r="AJV12" s="5"/>
      <c r="AJW12" s="5"/>
      <c r="AJY12" s="6"/>
      <c r="AJZ12" s="5"/>
      <c r="AKD12" s="5"/>
      <c r="AKE12" s="5"/>
      <c r="AKG12" s="6"/>
      <c r="AKH12" s="5"/>
      <c r="AKL12" s="5"/>
      <c r="AKM12" s="5"/>
      <c r="AKO12" s="6"/>
      <c r="AKP12" s="5"/>
      <c r="AKT12" s="5"/>
      <c r="AKU12" s="5"/>
      <c r="AKW12" s="6"/>
      <c r="AKX12" s="5"/>
      <c r="ALB12" s="5"/>
      <c r="ALC12" s="5"/>
      <c r="ALE12" s="6"/>
      <c r="ALF12" s="5"/>
      <c r="ALJ12" s="5"/>
      <c r="ALK12" s="5"/>
      <c r="ALM12" s="6"/>
      <c r="ALN12" s="5"/>
      <c r="ALR12" s="5"/>
      <c r="ALS12" s="5"/>
      <c r="ALU12" s="6"/>
      <c r="ALV12" s="5"/>
      <c r="ALZ12" s="5"/>
      <c r="AMA12" s="5"/>
      <c r="AMC12" s="6"/>
      <c r="AMD12" s="5"/>
      <c r="AMH12" s="5"/>
      <c r="AMI12" s="5"/>
      <c r="AMK12" s="6"/>
      <c r="AML12" s="5"/>
      <c r="AMP12" s="5"/>
      <c r="AMQ12" s="5"/>
      <c r="AMS12" s="6"/>
      <c r="AMT12" s="5"/>
      <c r="AMX12" s="5"/>
      <c r="AMY12" s="5"/>
      <c r="ANA12" s="6"/>
      <c r="ANB12" s="5"/>
      <c r="ANF12" s="5"/>
      <c r="ANG12" s="5"/>
      <c r="ANI12" s="6"/>
      <c r="ANJ12" s="5"/>
      <c r="ANN12" s="5"/>
      <c r="ANO12" s="5"/>
      <c r="ANQ12" s="6"/>
      <c r="ANR12" s="5"/>
      <c r="ANV12" s="5"/>
      <c r="ANW12" s="5"/>
      <c r="ANY12" s="6"/>
      <c r="ANZ12" s="5"/>
      <c r="AOD12" s="5"/>
      <c r="AOE12" s="5"/>
      <c r="AOG12" s="6"/>
      <c r="AOH12" s="5"/>
      <c r="AOL12" s="5"/>
      <c r="AOM12" s="5"/>
      <c r="AOO12" s="6"/>
      <c r="AOP12" s="5"/>
      <c r="AOT12" s="5"/>
      <c r="AOU12" s="5"/>
      <c r="AOW12" s="6"/>
      <c r="AOX12" s="5"/>
      <c r="APB12" s="5"/>
      <c r="APC12" s="5"/>
      <c r="APE12" s="6"/>
      <c r="APF12" s="5"/>
      <c r="APJ12" s="5"/>
      <c r="APK12" s="5"/>
      <c r="APM12" s="6"/>
      <c r="APN12" s="5"/>
      <c r="APR12" s="5"/>
      <c r="APS12" s="5"/>
      <c r="APU12" s="6"/>
      <c r="APV12" s="5"/>
      <c r="APZ12" s="5"/>
      <c r="AQA12" s="5"/>
      <c r="AQC12" s="6"/>
      <c r="AQD12" s="5"/>
      <c r="AQH12" s="5"/>
      <c r="AQI12" s="5"/>
      <c r="AQK12" s="6"/>
      <c r="AQL12" s="5"/>
      <c r="AQP12" s="5"/>
      <c r="AQQ12" s="5"/>
      <c r="AQS12" s="6"/>
      <c r="AQT12" s="5"/>
      <c r="AQX12" s="5"/>
      <c r="AQY12" s="5"/>
      <c r="ARA12" s="6"/>
      <c r="ARB12" s="5"/>
      <c r="ARF12" s="5"/>
      <c r="ARG12" s="5"/>
      <c r="ARI12" s="6"/>
      <c r="ARJ12" s="5"/>
      <c r="ARN12" s="5"/>
      <c r="ARO12" s="5"/>
      <c r="ARQ12" s="6"/>
      <c r="ARR12" s="5"/>
      <c r="ARV12" s="5"/>
      <c r="ARW12" s="5"/>
      <c r="ARY12" s="6"/>
      <c r="ARZ12" s="5"/>
      <c r="ASD12" s="5"/>
      <c r="ASE12" s="5"/>
      <c r="ASG12" s="6"/>
      <c r="ASH12" s="5"/>
      <c r="ASL12" s="5"/>
      <c r="ASM12" s="5"/>
      <c r="ASO12" s="6"/>
      <c r="ASP12" s="5"/>
      <c r="AST12" s="5"/>
      <c r="ASU12" s="5"/>
      <c r="ASW12" s="6"/>
      <c r="ASX12" s="5"/>
      <c r="ATB12" s="5"/>
      <c r="ATC12" s="5"/>
      <c r="ATE12" s="6"/>
      <c r="ATF12" s="5"/>
      <c r="ATJ12" s="5"/>
      <c r="ATK12" s="5"/>
      <c r="ATM12" s="6"/>
      <c r="ATN12" s="5"/>
      <c r="ATR12" s="5"/>
      <c r="ATS12" s="5"/>
      <c r="ATU12" s="6"/>
      <c r="ATV12" s="5"/>
      <c r="ATZ12" s="5"/>
      <c r="AUA12" s="5"/>
      <c r="AUC12" s="6"/>
      <c r="AUD12" s="5"/>
      <c r="AUH12" s="5"/>
      <c r="AUI12" s="5"/>
      <c r="AUK12" s="6"/>
      <c r="AUL12" s="5"/>
      <c r="AUP12" s="5"/>
      <c r="AUQ12" s="5"/>
      <c r="AUS12" s="6"/>
      <c r="AUT12" s="5"/>
      <c r="AUX12" s="5"/>
      <c r="AUY12" s="5"/>
      <c r="AVA12" s="6"/>
      <c r="AVB12" s="5"/>
      <c r="AVF12" s="5"/>
      <c r="AVG12" s="5"/>
      <c r="AVI12" s="6"/>
      <c r="AVJ12" s="5"/>
      <c r="AVN12" s="5"/>
      <c r="AVO12" s="5"/>
      <c r="AVQ12" s="6"/>
      <c r="AVR12" s="5"/>
      <c r="AVV12" s="5"/>
      <c r="AVW12" s="5"/>
      <c r="AVY12" s="6"/>
      <c r="AVZ12" s="5"/>
      <c r="AWD12" s="5"/>
      <c r="AWE12" s="5"/>
      <c r="AWG12" s="6"/>
      <c r="AWH12" s="5"/>
      <c r="AWL12" s="5"/>
      <c r="AWM12" s="5"/>
      <c r="AWO12" s="6"/>
      <c r="AWP12" s="5"/>
      <c r="AWT12" s="5"/>
      <c r="AWU12" s="5"/>
      <c r="AWW12" s="6"/>
      <c r="AWX12" s="5"/>
      <c r="AXB12" s="5"/>
      <c r="AXC12" s="5"/>
      <c r="AXE12" s="6"/>
      <c r="AXF12" s="5"/>
      <c r="AXJ12" s="5"/>
      <c r="AXK12" s="5"/>
      <c r="AXM12" s="6"/>
      <c r="AXN12" s="5"/>
      <c r="AXR12" s="5"/>
      <c r="AXS12" s="5"/>
      <c r="AXU12" s="6"/>
      <c r="AXV12" s="5"/>
      <c r="AXZ12" s="5"/>
      <c r="AYA12" s="5"/>
      <c r="AYC12" s="6"/>
      <c r="AYD12" s="5"/>
      <c r="AYH12" s="5"/>
      <c r="AYI12" s="5"/>
      <c r="AYK12" s="6"/>
      <c r="AYL12" s="5"/>
      <c r="AYP12" s="5"/>
      <c r="AYQ12" s="5"/>
      <c r="AYS12" s="6"/>
      <c r="AYT12" s="5"/>
      <c r="AYX12" s="5"/>
      <c r="AYY12" s="5"/>
      <c r="AZA12" s="6"/>
      <c r="AZB12" s="5"/>
      <c r="AZF12" s="5"/>
      <c r="AZG12" s="5"/>
      <c r="AZI12" s="6"/>
      <c r="AZJ12" s="5"/>
      <c r="AZN12" s="5"/>
      <c r="AZO12" s="5"/>
      <c r="AZQ12" s="6"/>
      <c r="AZR12" s="5"/>
      <c r="AZV12" s="5"/>
      <c r="AZW12" s="5"/>
      <c r="AZY12" s="6"/>
      <c r="AZZ12" s="5"/>
      <c r="BAD12" s="5"/>
      <c r="BAE12" s="5"/>
      <c r="BAG12" s="6"/>
      <c r="BAH12" s="5"/>
      <c r="BAL12" s="5"/>
      <c r="BAM12" s="5"/>
      <c r="BAO12" s="6"/>
      <c r="BAP12" s="5"/>
      <c r="BAT12" s="5"/>
      <c r="BAU12" s="5"/>
      <c r="BAW12" s="6"/>
      <c r="BAX12" s="5"/>
      <c r="BBB12" s="5"/>
      <c r="BBC12" s="5"/>
      <c r="BBE12" s="6"/>
      <c r="BBF12" s="5"/>
      <c r="BBJ12" s="5"/>
      <c r="BBK12" s="5"/>
      <c r="BBM12" s="6"/>
      <c r="BBN12" s="5"/>
      <c r="BBR12" s="5"/>
      <c r="BBS12" s="5"/>
      <c r="BBU12" s="6"/>
      <c r="BBV12" s="5"/>
      <c r="BBZ12" s="5"/>
      <c r="BCA12" s="5"/>
      <c r="BCC12" s="6"/>
      <c r="BCD12" s="5"/>
      <c r="BCH12" s="5"/>
      <c r="BCI12" s="5"/>
      <c r="BCK12" s="6"/>
      <c r="BCL12" s="5"/>
      <c r="BCP12" s="5"/>
      <c r="BCQ12" s="5"/>
      <c r="BCS12" s="6"/>
      <c r="BCT12" s="5"/>
      <c r="BCX12" s="5"/>
      <c r="BCY12" s="5"/>
      <c r="BDA12" s="6"/>
      <c r="BDB12" s="5"/>
      <c r="BDF12" s="5"/>
      <c r="BDG12" s="5"/>
      <c r="BDI12" s="6"/>
      <c r="BDJ12" s="5"/>
      <c r="BDN12" s="5"/>
      <c r="BDO12" s="5"/>
      <c r="BDQ12" s="6"/>
      <c r="BDR12" s="5"/>
      <c r="BDV12" s="5"/>
      <c r="BDW12" s="5"/>
      <c r="BDY12" s="6"/>
      <c r="BDZ12" s="5"/>
      <c r="BED12" s="5"/>
      <c r="BEE12" s="5"/>
      <c r="BEG12" s="6"/>
      <c r="BEH12" s="5"/>
      <c r="BEL12" s="5"/>
      <c r="BEM12" s="5"/>
      <c r="BEO12" s="6"/>
      <c r="BEP12" s="5"/>
      <c r="BET12" s="5"/>
      <c r="BEU12" s="5"/>
      <c r="BEW12" s="6"/>
      <c r="BEX12" s="5"/>
      <c r="BFB12" s="5"/>
      <c r="BFC12" s="5"/>
      <c r="BFE12" s="6"/>
      <c r="BFF12" s="5"/>
      <c r="BFJ12" s="5"/>
      <c r="BFK12" s="5"/>
      <c r="BFM12" s="6"/>
      <c r="BFN12" s="5"/>
      <c r="BFR12" s="5"/>
      <c r="BFS12" s="5"/>
      <c r="BFU12" s="6"/>
      <c r="BFV12" s="5"/>
      <c r="BFZ12" s="5"/>
      <c r="BGA12" s="5"/>
      <c r="BGC12" s="6"/>
      <c r="BGD12" s="5"/>
      <c r="BGH12" s="5"/>
      <c r="BGI12" s="5"/>
      <c r="BGK12" s="6"/>
      <c r="BGL12" s="5"/>
      <c r="BGP12" s="5"/>
      <c r="BGQ12" s="5"/>
      <c r="BGS12" s="6"/>
      <c r="BGT12" s="5"/>
      <c r="BGX12" s="5"/>
      <c r="BGY12" s="5"/>
      <c r="BHA12" s="6"/>
      <c r="BHB12" s="5"/>
      <c r="BHF12" s="5"/>
      <c r="BHG12" s="5"/>
      <c r="BHI12" s="6"/>
      <c r="BHJ12" s="5"/>
      <c r="BHN12" s="5"/>
      <c r="BHO12" s="5"/>
      <c r="BHQ12" s="6"/>
      <c r="BHR12" s="5"/>
      <c r="BHV12" s="5"/>
      <c r="BHW12" s="5"/>
      <c r="BHY12" s="6"/>
      <c r="BHZ12" s="5"/>
      <c r="BID12" s="5"/>
      <c r="BIE12" s="5"/>
      <c r="BIG12" s="6"/>
      <c r="BIH12" s="5"/>
      <c r="BIL12" s="5"/>
      <c r="BIM12" s="5"/>
      <c r="BIO12" s="6"/>
      <c r="BIP12" s="5"/>
      <c r="BIT12" s="5"/>
      <c r="BIU12" s="5"/>
      <c r="BIW12" s="6"/>
      <c r="BIX12" s="5"/>
      <c r="BJB12" s="5"/>
      <c r="BJC12" s="5"/>
      <c r="BJE12" s="6"/>
      <c r="BJF12" s="5"/>
      <c r="BJJ12" s="5"/>
      <c r="BJK12" s="5"/>
      <c r="BJM12" s="6"/>
      <c r="BJN12" s="5"/>
      <c r="BJR12" s="5"/>
      <c r="BJS12" s="5"/>
      <c r="BJU12" s="6"/>
      <c r="BJV12" s="5"/>
      <c r="BJZ12" s="5"/>
      <c r="BKA12" s="5"/>
      <c r="BKC12" s="6"/>
      <c r="BKD12" s="5"/>
      <c r="BKH12" s="5"/>
      <c r="BKI12" s="5"/>
      <c r="BKK12" s="6"/>
      <c r="BKL12" s="5"/>
      <c r="BKP12" s="5"/>
      <c r="BKQ12" s="5"/>
      <c r="BKS12" s="6"/>
      <c r="BKT12" s="5"/>
      <c r="BKX12" s="5"/>
      <c r="BKY12" s="5"/>
      <c r="BLA12" s="6"/>
      <c r="BLB12" s="5"/>
      <c r="BLF12" s="5"/>
      <c r="BLG12" s="5"/>
      <c r="BLI12" s="6"/>
      <c r="BLJ12" s="5"/>
      <c r="BLN12" s="5"/>
      <c r="BLO12" s="5"/>
      <c r="BLQ12" s="6"/>
      <c r="BLR12" s="5"/>
      <c r="BLV12" s="5"/>
      <c r="BLW12" s="5"/>
      <c r="BLY12" s="6"/>
      <c r="BLZ12" s="5"/>
      <c r="BMD12" s="5"/>
      <c r="BME12" s="5"/>
      <c r="BMG12" s="6"/>
      <c r="BMH12" s="5"/>
      <c r="BML12" s="5"/>
      <c r="BMM12" s="5"/>
      <c r="BMO12" s="6"/>
      <c r="BMP12" s="5"/>
      <c r="BMT12" s="5"/>
      <c r="BMU12" s="5"/>
      <c r="BMW12" s="6"/>
      <c r="BMX12" s="5"/>
      <c r="BNB12" s="5"/>
      <c r="BNC12" s="5"/>
      <c r="BNE12" s="6"/>
      <c r="BNF12" s="5"/>
      <c r="BNJ12" s="5"/>
      <c r="BNK12" s="5"/>
      <c r="BNM12" s="6"/>
      <c r="BNN12" s="5"/>
      <c r="BNR12" s="5"/>
      <c r="BNS12" s="5"/>
      <c r="BNU12" s="6"/>
      <c r="BNV12" s="5"/>
      <c r="BNZ12" s="5"/>
      <c r="BOA12" s="5"/>
      <c r="BOC12" s="6"/>
      <c r="BOD12" s="5"/>
      <c r="BOH12" s="5"/>
      <c r="BOI12" s="5"/>
      <c r="BOK12" s="6"/>
      <c r="BOL12" s="5"/>
      <c r="BOP12" s="5"/>
      <c r="BOQ12" s="5"/>
      <c r="BOS12" s="6"/>
      <c r="BOT12" s="5"/>
      <c r="BOX12" s="5"/>
      <c r="BOY12" s="5"/>
      <c r="BPA12" s="6"/>
      <c r="BPB12" s="5"/>
      <c r="BPF12" s="5"/>
      <c r="BPG12" s="5"/>
      <c r="BPI12" s="6"/>
      <c r="BPJ12" s="5"/>
      <c r="BPN12" s="5"/>
      <c r="BPO12" s="5"/>
      <c r="BPQ12" s="6"/>
      <c r="BPR12" s="5"/>
      <c r="BPV12" s="5"/>
      <c r="BPW12" s="5"/>
      <c r="BPY12" s="6"/>
      <c r="BPZ12" s="5"/>
      <c r="BQD12" s="5"/>
      <c r="BQE12" s="5"/>
      <c r="BQG12" s="6"/>
      <c r="BQH12" s="5"/>
      <c r="BQL12" s="5"/>
      <c r="BQM12" s="5"/>
      <c r="BQO12" s="6"/>
      <c r="BQP12" s="5"/>
      <c r="BQT12" s="5"/>
      <c r="BQU12" s="5"/>
      <c r="BQW12" s="6"/>
      <c r="BQX12" s="5"/>
      <c r="BRB12" s="5"/>
      <c r="BRC12" s="5"/>
      <c r="BRE12" s="6"/>
      <c r="BRF12" s="5"/>
      <c r="BRJ12" s="5"/>
      <c r="BRK12" s="5"/>
      <c r="BRM12" s="6"/>
      <c r="BRN12" s="5"/>
      <c r="BRR12" s="5"/>
      <c r="BRS12" s="5"/>
      <c r="BRU12" s="6"/>
      <c r="BRV12" s="5"/>
      <c r="BRZ12" s="5"/>
      <c r="BSA12" s="5"/>
      <c r="BSC12" s="6"/>
      <c r="BSD12" s="5"/>
      <c r="BSH12" s="5"/>
      <c r="BSI12" s="5"/>
      <c r="BSK12" s="6"/>
      <c r="BSL12" s="5"/>
      <c r="BSP12" s="5"/>
      <c r="BSQ12" s="5"/>
      <c r="BSS12" s="6"/>
      <c r="BST12" s="5"/>
      <c r="BSX12" s="5"/>
      <c r="BSY12" s="5"/>
      <c r="BTA12" s="6"/>
      <c r="BTB12" s="5"/>
      <c r="BTF12" s="5"/>
      <c r="BTG12" s="5"/>
      <c r="BTI12" s="6"/>
      <c r="BTJ12" s="5"/>
      <c r="BTN12" s="5"/>
      <c r="BTO12" s="5"/>
      <c r="BTQ12" s="6"/>
      <c r="BTR12" s="5"/>
      <c r="BTV12" s="5"/>
      <c r="BTW12" s="5"/>
      <c r="BTY12" s="6"/>
      <c r="BTZ12" s="5"/>
      <c r="BUD12" s="5"/>
      <c r="BUE12" s="5"/>
      <c r="BUG12" s="6"/>
      <c r="BUH12" s="5"/>
      <c r="BUL12" s="5"/>
      <c r="BUM12" s="5"/>
      <c r="BUO12" s="6"/>
      <c r="BUP12" s="5"/>
      <c r="BUT12" s="5"/>
      <c r="BUU12" s="5"/>
      <c r="BUW12" s="6"/>
      <c r="BUX12" s="5"/>
      <c r="BVB12" s="5"/>
      <c r="BVC12" s="5"/>
      <c r="BVE12" s="6"/>
      <c r="BVF12" s="5"/>
      <c r="BVJ12" s="5"/>
      <c r="BVK12" s="5"/>
      <c r="BVM12" s="6"/>
      <c r="BVN12" s="5"/>
      <c r="BVR12" s="5"/>
      <c r="BVS12" s="5"/>
      <c r="BVU12" s="6"/>
      <c r="BVV12" s="5"/>
      <c r="BVZ12" s="5"/>
      <c r="BWA12" s="5"/>
      <c r="BWC12" s="6"/>
      <c r="BWD12" s="5"/>
      <c r="BWH12" s="5"/>
      <c r="BWI12" s="5"/>
      <c r="BWK12" s="6"/>
      <c r="BWL12" s="5"/>
      <c r="BWP12" s="5"/>
      <c r="BWQ12" s="5"/>
      <c r="BWS12" s="6"/>
      <c r="BWT12" s="5"/>
      <c r="BWX12" s="5"/>
      <c r="BWY12" s="5"/>
      <c r="BXA12" s="6"/>
      <c r="BXB12" s="5"/>
      <c r="BXF12" s="5"/>
      <c r="BXG12" s="5"/>
      <c r="BXI12" s="6"/>
      <c r="BXJ12" s="5"/>
      <c r="BXN12" s="5"/>
      <c r="BXO12" s="5"/>
      <c r="BXQ12" s="6"/>
      <c r="BXR12" s="5"/>
      <c r="BXV12" s="5"/>
      <c r="BXW12" s="5"/>
      <c r="BXY12" s="6"/>
      <c r="BXZ12" s="5"/>
      <c r="BYD12" s="5"/>
      <c r="BYE12" s="5"/>
      <c r="BYG12" s="6"/>
      <c r="BYH12" s="5"/>
      <c r="BYL12" s="5"/>
      <c r="BYM12" s="5"/>
      <c r="BYO12" s="6"/>
      <c r="BYP12" s="5"/>
      <c r="BYT12" s="5"/>
      <c r="BYU12" s="5"/>
      <c r="BYW12" s="6"/>
      <c r="BYX12" s="5"/>
      <c r="BZB12" s="5"/>
      <c r="BZC12" s="5"/>
      <c r="BZE12" s="6"/>
      <c r="BZF12" s="5"/>
      <c r="BZJ12" s="5"/>
      <c r="BZK12" s="5"/>
      <c r="BZM12" s="6"/>
      <c r="BZN12" s="5"/>
      <c r="BZR12" s="5"/>
      <c r="BZS12" s="5"/>
      <c r="BZU12" s="6"/>
      <c r="BZV12" s="5"/>
      <c r="BZZ12" s="5"/>
      <c r="CAA12" s="5"/>
      <c r="CAC12" s="6"/>
      <c r="CAD12" s="5"/>
      <c r="CAH12" s="5"/>
      <c r="CAI12" s="5"/>
      <c r="CAK12" s="6"/>
      <c r="CAL12" s="5"/>
      <c r="CAP12" s="5"/>
      <c r="CAQ12" s="5"/>
      <c r="CAS12" s="6"/>
      <c r="CAT12" s="5"/>
      <c r="CAX12" s="5"/>
      <c r="CAY12" s="5"/>
      <c r="CBA12" s="6"/>
      <c r="CBB12" s="5"/>
      <c r="CBF12" s="5"/>
      <c r="CBG12" s="5"/>
      <c r="CBI12" s="6"/>
      <c r="CBJ12" s="5"/>
      <c r="CBN12" s="5"/>
      <c r="CBO12" s="5"/>
      <c r="CBQ12" s="6"/>
      <c r="CBR12" s="5"/>
      <c r="CBV12" s="5"/>
      <c r="CBW12" s="5"/>
      <c r="CBY12" s="6"/>
      <c r="CBZ12" s="5"/>
      <c r="CCD12" s="5"/>
      <c r="CCE12" s="5"/>
      <c r="CCG12" s="6"/>
      <c r="CCH12" s="5"/>
      <c r="CCL12" s="5"/>
      <c r="CCM12" s="5"/>
      <c r="CCO12" s="6"/>
      <c r="CCP12" s="5"/>
      <c r="CCT12" s="5"/>
      <c r="CCU12" s="5"/>
      <c r="CCW12" s="6"/>
      <c r="CCX12" s="5"/>
      <c r="CDB12" s="5"/>
      <c r="CDC12" s="5"/>
      <c r="CDE12" s="6"/>
      <c r="CDF12" s="5"/>
      <c r="CDJ12" s="5"/>
      <c r="CDK12" s="5"/>
      <c r="CDM12" s="6"/>
      <c r="CDN12" s="5"/>
      <c r="CDR12" s="5"/>
      <c r="CDS12" s="5"/>
      <c r="CDU12" s="6"/>
      <c r="CDV12" s="5"/>
      <c r="CDZ12" s="5"/>
      <c r="CEA12" s="5"/>
      <c r="CEC12" s="6"/>
      <c r="CED12" s="5"/>
      <c r="CEH12" s="5"/>
      <c r="CEI12" s="5"/>
      <c r="CEK12" s="6"/>
      <c r="CEL12" s="5"/>
      <c r="CEP12" s="5"/>
      <c r="CEQ12" s="5"/>
      <c r="CES12" s="6"/>
      <c r="CET12" s="5"/>
      <c r="CEX12" s="5"/>
      <c r="CEY12" s="5"/>
      <c r="CFA12" s="6"/>
      <c r="CFB12" s="5"/>
      <c r="CFF12" s="5"/>
      <c r="CFG12" s="5"/>
      <c r="CFI12" s="6"/>
      <c r="CFJ12" s="5"/>
      <c r="CFN12" s="5"/>
      <c r="CFO12" s="5"/>
      <c r="CFQ12" s="6"/>
      <c r="CFR12" s="5"/>
      <c r="CFV12" s="5"/>
      <c r="CFW12" s="5"/>
      <c r="CFY12" s="6"/>
      <c r="CFZ12" s="5"/>
      <c r="CGD12" s="5"/>
      <c r="CGE12" s="5"/>
      <c r="CGG12" s="6"/>
      <c r="CGH12" s="5"/>
      <c r="CGL12" s="5"/>
      <c r="CGM12" s="5"/>
      <c r="CGO12" s="6"/>
      <c r="CGP12" s="5"/>
      <c r="CGT12" s="5"/>
      <c r="CGU12" s="5"/>
      <c r="CGW12" s="6"/>
      <c r="CGX12" s="5"/>
      <c r="CHB12" s="5"/>
      <c r="CHC12" s="5"/>
      <c r="CHE12" s="6"/>
      <c r="CHF12" s="5"/>
      <c r="CHJ12" s="5"/>
      <c r="CHK12" s="5"/>
      <c r="CHM12" s="6"/>
      <c r="CHN12" s="5"/>
      <c r="CHR12" s="5"/>
      <c r="CHS12" s="5"/>
      <c r="CHU12" s="6"/>
      <c r="CHV12" s="5"/>
      <c r="CHZ12" s="5"/>
      <c r="CIA12" s="5"/>
      <c r="CIC12" s="6"/>
      <c r="CID12" s="5"/>
      <c r="CIH12" s="5"/>
      <c r="CII12" s="5"/>
      <c r="CIK12" s="6"/>
      <c r="CIL12" s="5"/>
      <c r="CIP12" s="5"/>
      <c r="CIQ12" s="5"/>
      <c r="CIS12" s="6"/>
      <c r="CIT12" s="5"/>
      <c r="CIX12" s="5"/>
      <c r="CIY12" s="5"/>
      <c r="CJA12" s="6"/>
      <c r="CJB12" s="5"/>
      <c r="CJF12" s="5"/>
      <c r="CJG12" s="5"/>
      <c r="CJI12" s="6"/>
      <c r="CJJ12" s="5"/>
      <c r="CJN12" s="5"/>
      <c r="CJO12" s="5"/>
      <c r="CJQ12" s="6"/>
      <c r="CJR12" s="5"/>
      <c r="CJV12" s="5"/>
      <c r="CJW12" s="5"/>
      <c r="CJY12" s="6"/>
      <c r="CJZ12" s="5"/>
      <c r="CKD12" s="5"/>
      <c r="CKE12" s="5"/>
      <c r="CKG12" s="6"/>
      <c r="CKH12" s="5"/>
      <c r="CKL12" s="5"/>
      <c r="CKM12" s="5"/>
      <c r="CKO12" s="6"/>
      <c r="CKP12" s="5"/>
      <c r="CKT12" s="5"/>
      <c r="CKU12" s="5"/>
      <c r="CKW12" s="6"/>
      <c r="CKX12" s="5"/>
      <c r="CLB12" s="5"/>
      <c r="CLC12" s="5"/>
      <c r="CLE12" s="6"/>
      <c r="CLF12" s="5"/>
      <c r="CLJ12" s="5"/>
      <c r="CLK12" s="5"/>
      <c r="CLM12" s="6"/>
      <c r="CLN12" s="5"/>
      <c r="CLR12" s="5"/>
      <c r="CLS12" s="5"/>
      <c r="CLU12" s="6"/>
      <c r="CLV12" s="5"/>
      <c r="CLZ12" s="5"/>
      <c r="CMA12" s="5"/>
      <c r="CMC12" s="6"/>
      <c r="CMD12" s="5"/>
      <c r="CMH12" s="5"/>
      <c r="CMI12" s="5"/>
      <c r="CMK12" s="6"/>
      <c r="CML12" s="5"/>
      <c r="CMP12" s="5"/>
      <c r="CMQ12" s="5"/>
      <c r="CMS12" s="6"/>
      <c r="CMT12" s="5"/>
      <c r="CMX12" s="5"/>
      <c r="CMY12" s="5"/>
      <c r="CNA12" s="6"/>
      <c r="CNB12" s="5"/>
      <c r="CNF12" s="5"/>
      <c r="CNG12" s="5"/>
      <c r="CNI12" s="6"/>
      <c r="CNJ12" s="5"/>
      <c r="CNN12" s="5"/>
      <c r="CNO12" s="5"/>
      <c r="CNQ12" s="6"/>
      <c r="CNR12" s="5"/>
      <c r="CNV12" s="5"/>
      <c r="CNW12" s="5"/>
      <c r="CNY12" s="6"/>
      <c r="CNZ12" s="5"/>
      <c r="COD12" s="5"/>
      <c r="COE12" s="5"/>
      <c r="COG12" s="6"/>
      <c r="COH12" s="5"/>
      <c r="COL12" s="5"/>
      <c r="COM12" s="5"/>
      <c r="COO12" s="6"/>
      <c r="COP12" s="5"/>
      <c r="COT12" s="5"/>
      <c r="COU12" s="5"/>
      <c r="COW12" s="6"/>
      <c r="COX12" s="5"/>
      <c r="CPB12" s="5"/>
      <c r="CPC12" s="5"/>
      <c r="CPE12" s="6"/>
      <c r="CPF12" s="5"/>
      <c r="CPJ12" s="5"/>
      <c r="CPK12" s="5"/>
      <c r="CPM12" s="6"/>
      <c r="CPN12" s="5"/>
      <c r="CPR12" s="5"/>
      <c r="CPS12" s="5"/>
      <c r="CPU12" s="6"/>
      <c r="CPV12" s="5"/>
      <c r="CPZ12" s="5"/>
      <c r="CQA12" s="5"/>
      <c r="CQC12" s="6"/>
      <c r="CQD12" s="5"/>
      <c r="CQH12" s="5"/>
      <c r="CQI12" s="5"/>
      <c r="CQK12" s="6"/>
      <c r="CQL12" s="5"/>
      <c r="CQP12" s="5"/>
      <c r="CQQ12" s="5"/>
      <c r="CQS12" s="6"/>
      <c r="CQT12" s="5"/>
      <c r="CQX12" s="5"/>
      <c r="CQY12" s="5"/>
      <c r="CRA12" s="6"/>
      <c r="CRB12" s="5"/>
      <c r="CRF12" s="5"/>
      <c r="CRG12" s="5"/>
      <c r="CRI12" s="6"/>
      <c r="CRJ12" s="5"/>
      <c r="CRN12" s="5"/>
      <c r="CRO12" s="5"/>
      <c r="CRQ12" s="6"/>
      <c r="CRR12" s="5"/>
      <c r="CRV12" s="5"/>
      <c r="CRW12" s="5"/>
      <c r="CRY12" s="6"/>
      <c r="CRZ12" s="5"/>
      <c r="CSD12" s="5"/>
      <c r="CSE12" s="5"/>
      <c r="CSG12" s="6"/>
      <c r="CSH12" s="5"/>
      <c r="CSL12" s="5"/>
      <c r="CSM12" s="5"/>
      <c r="CSO12" s="6"/>
      <c r="CSP12" s="5"/>
      <c r="CST12" s="5"/>
      <c r="CSU12" s="5"/>
      <c r="CSW12" s="6"/>
      <c r="CSX12" s="5"/>
      <c r="CTB12" s="5"/>
      <c r="CTC12" s="5"/>
      <c r="CTE12" s="6"/>
      <c r="CTF12" s="5"/>
      <c r="CTJ12" s="5"/>
      <c r="CTK12" s="5"/>
      <c r="CTM12" s="6"/>
      <c r="CTN12" s="5"/>
      <c r="CTR12" s="5"/>
      <c r="CTS12" s="5"/>
      <c r="CTU12" s="6"/>
      <c r="CTV12" s="5"/>
      <c r="CTZ12" s="5"/>
      <c r="CUA12" s="5"/>
      <c r="CUC12" s="6"/>
      <c r="CUD12" s="5"/>
      <c r="CUH12" s="5"/>
      <c r="CUI12" s="5"/>
      <c r="CUK12" s="6"/>
      <c r="CUL12" s="5"/>
      <c r="CUP12" s="5"/>
      <c r="CUQ12" s="5"/>
      <c r="CUS12" s="6"/>
      <c r="CUT12" s="5"/>
      <c r="CUX12" s="5"/>
      <c r="CUY12" s="5"/>
      <c r="CVA12" s="6"/>
      <c r="CVB12" s="5"/>
      <c r="CVF12" s="5"/>
      <c r="CVG12" s="5"/>
      <c r="CVI12" s="6"/>
      <c r="CVJ12" s="5"/>
      <c r="CVN12" s="5"/>
      <c r="CVO12" s="5"/>
      <c r="CVQ12" s="6"/>
      <c r="CVR12" s="5"/>
      <c r="CVV12" s="5"/>
      <c r="CVW12" s="5"/>
      <c r="CVY12" s="6"/>
      <c r="CVZ12" s="5"/>
      <c r="CWD12" s="5"/>
      <c r="CWE12" s="5"/>
      <c r="CWG12" s="6"/>
      <c r="CWH12" s="5"/>
      <c r="CWL12" s="5"/>
      <c r="CWM12" s="5"/>
      <c r="CWO12" s="6"/>
      <c r="CWP12" s="5"/>
      <c r="CWT12" s="5"/>
      <c r="CWU12" s="5"/>
      <c r="CWW12" s="6"/>
      <c r="CWX12" s="5"/>
      <c r="CXB12" s="5"/>
      <c r="CXC12" s="5"/>
      <c r="CXE12" s="6"/>
      <c r="CXF12" s="5"/>
      <c r="CXJ12" s="5"/>
      <c r="CXK12" s="5"/>
      <c r="CXM12" s="6"/>
      <c r="CXN12" s="5"/>
      <c r="CXR12" s="5"/>
      <c r="CXS12" s="5"/>
      <c r="CXU12" s="6"/>
      <c r="CXV12" s="5"/>
      <c r="CXZ12" s="5"/>
      <c r="CYA12" s="5"/>
      <c r="CYC12" s="6"/>
      <c r="CYD12" s="5"/>
      <c r="CYH12" s="5"/>
      <c r="CYI12" s="5"/>
      <c r="CYK12" s="6"/>
      <c r="CYL12" s="5"/>
      <c r="CYP12" s="5"/>
      <c r="CYQ12" s="5"/>
      <c r="CYS12" s="6"/>
      <c r="CYT12" s="5"/>
      <c r="CYX12" s="5"/>
      <c r="CYY12" s="5"/>
      <c r="CZA12" s="6"/>
      <c r="CZB12" s="5"/>
      <c r="CZF12" s="5"/>
      <c r="CZG12" s="5"/>
      <c r="CZI12" s="6"/>
      <c r="CZJ12" s="5"/>
      <c r="CZN12" s="5"/>
      <c r="CZO12" s="5"/>
      <c r="CZQ12" s="6"/>
      <c r="CZR12" s="5"/>
      <c r="CZV12" s="5"/>
      <c r="CZW12" s="5"/>
      <c r="CZY12" s="6"/>
      <c r="CZZ12" s="5"/>
      <c r="DAD12" s="5"/>
      <c r="DAE12" s="5"/>
      <c r="DAG12" s="6"/>
      <c r="DAH12" s="5"/>
      <c r="DAL12" s="5"/>
      <c r="DAM12" s="5"/>
      <c r="DAO12" s="6"/>
      <c r="DAP12" s="5"/>
      <c r="DAT12" s="5"/>
      <c r="DAU12" s="5"/>
      <c r="DAW12" s="6"/>
      <c r="DAX12" s="5"/>
      <c r="DBB12" s="5"/>
      <c r="DBC12" s="5"/>
      <c r="DBE12" s="6"/>
      <c r="DBF12" s="5"/>
      <c r="DBJ12" s="5"/>
      <c r="DBK12" s="5"/>
      <c r="DBM12" s="6"/>
      <c r="DBN12" s="5"/>
      <c r="DBR12" s="5"/>
      <c r="DBS12" s="5"/>
      <c r="DBU12" s="6"/>
      <c r="DBV12" s="5"/>
      <c r="DBZ12" s="5"/>
      <c r="DCA12" s="5"/>
      <c r="DCC12" s="6"/>
      <c r="DCD12" s="5"/>
      <c r="DCH12" s="5"/>
      <c r="DCI12" s="5"/>
      <c r="DCK12" s="6"/>
      <c r="DCL12" s="5"/>
      <c r="DCP12" s="5"/>
      <c r="DCQ12" s="5"/>
      <c r="DCS12" s="6"/>
      <c r="DCT12" s="5"/>
      <c r="DCX12" s="5"/>
      <c r="DCY12" s="5"/>
      <c r="DDA12" s="6"/>
      <c r="DDB12" s="5"/>
      <c r="DDF12" s="5"/>
      <c r="DDG12" s="5"/>
      <c r="DDI12" s="6"/>
      <c r="DDJ12" s="5"/>
      <c r="DDN12" s="5"/>
      <c r="DDO12" s="5"/>
      <c r="DDQ12" s="6"/>
      <c r="DDR12" s="5"/>
      <c r="DDV12" s="5"/>
      <c r="DDW12" s="5"/>
      <c r="DDY12" s="6"/>
      <c r="DDZ12" s="5"/>
      <c r="DED12" s="5"/>
      <c r="DEE12" s="5"/>
      <c r="DEG12" s="6"/>
      <c r="DEH12" s="5"/>
      <c r="DEL12" s="5"/>
      <c r="DEM12" s="5"/>
      <c r="DEO12" s="6"/>
      <c r="DEP12" s="5"/>
      <c r="DET12" s="5"/>
      <c r="DEU12" s="5"/>
      <c r="DEW12" s="6"/>
      <c r="DEX12" s="5"/>
      <c r="DFB12" s="5"/>
      <c r="DFC12" s="5"/>
      <c r="DFE12" s="6"/>
      <c r="DFF12" s="5"/>
      <c r="DFJ12" s="5"/>
      <c r="DFK12" s="5"/>
      <c r="DFM12" s="6"/>
      <c r="DFN12" s="5"/>
      <c r="DFR12" s="5"/>
      <c r="DFS12" s="5"/>
      <c r="DFU12" s="6"/>
      <c r="DFV12" s="5"/>
      <c r="DFZ12" s="5"/>
      <c r="DGA12" s="5"/>
      <c r="DGC12" s="6"/>
      <c r="DGD12" s="5"/>
      <c r="DGH12" s="5"/>
      <c r="DGI12" s="5"/>
      <c r="DGK12" s="6"/>
      <c r="DGL12" s="5"/>
      <c r="DGP12" s="5"/>
      <c r="DGQ12" s="5"/>
      <c r="DGS12" s="6"/>
      <c r="DGT12" s="5"/>
      <c r="DGX12" s="5"/>
      <c r="DGY12" s="5"/>
      <c r="DHA12" s="6"/>
      <c r="DHB12" s="5"/>
      <c r="DHF12" s="5"/>
      <c r="DHG12" s="5"/>
      <c r="DHI12" s="6"/>
      <c r="DHJ12" s="5"/>
      <c r="DHN12" s="5"/>
      <c r="DHO12" s="5"/>
      <c r="DHQ12" s="6"/>
      <c r="DHR12" s="5"/>
      <c r="DHV12" s="5"/>
      <c r="DHW12" s="5"/>
      <c r="DHY12" s="6"/>
      <c r="DHZ12" s="5"/>
      <c r="DID12" s="5"/>
      <c r="DIE12" s="5"/>
      <c r="DIG12" s="6"/>
      <c r="DIH12" s="5"/>
      <c r="DIL12" s="5"/>
      <c r="DIM12" s="5"/>
      <c r="DIO12" s="6"/>
      <c r="DIP12" s="5"/>
      <c r="DIT12" s="5"/>
      <c r="DIU12" s="5"/>
      <c r="DIW12" s="6"/>
      <c r="DIX12" s="5"/>
      <c r="DJB12" s="5"/>
      <c r="DJC12" s="5"/>
      <c r="DJE12" s="6"/>
      <c r="DJF12" s="5"/>
      <c r="DJJ12" s="5"/>
      <c r="DJK12" s="5"/>
      <c r="DJM12" s="6"/>
      <c r="DJN12" s="5"/>
      <c r="DJR12" s="5"/>
      <c r="DJS12" s="5"/>
      <c r="DJU12" s="6"/>
      <c r="DJV12" s="5"/>
      <c r="DJZ12" s="5"/>
      <c r="DKA12" s="5"/>
      <c r="DKC12" s="6"/>
      <c r="DKD12" s="5"/>
      <c r="DKH12" s="5"/>
      <c r="DKI12" s="5"/>
      <c r="DKK12" s="6"/>
      <c r="DKL12" s="5"/>
      <c r="DKP12" s="5"/>
      <c r="DKQ12" s="5"/>
      <c r="DKS12" s="6"/>
      <c r="DKT12" s="5"/>
      <c r="DKX12" s="5"/>
      <c r="DKY12" s="5"/>
      <c r="DLA12" s="6"/>
      <c r="DLB12" s="5"/>
      <c r="DLF12" s="5"/>
      <c r="DLG12" s="5"/>
      <c r="DLI12" s="6"/>
      <c r="DLJ12" s="5"/>
      <c r="DLN12" s="5"/>
      <c r="DLO12" s="5"/>
      <c r="DLQ12" s="6"/>
      <c r="DLR12" s="5"/>
      <c r="DLV12" s="5"/>
      <c r="DLW12" s="5"/>
      <c r="DLY12" s="6"/>
      <c r="DLZ12" s="5"/>
      <c r="DMD12" s="5"/>
      <c r="DME12" s="5"/>
      <c r="DMG12" s="6"/>
      <c r="DMH12" s="5"/>
      <c r="DML12" s="5"/>
      <c r="DMM12" s="5"/>
      <c r="DMO12" s="6"/>
      <c r="DMP12" s="5"/>
      <c r="DMT12" s="5"/>
      <c r="DMU12" s="5"/>
      <c r="DMW12" s="6"/>
      <c r="DMX12" s="5"/>
      <c r="DNB12" s="5"/>
      <c r="DNC12" s="5"/>
      <c r="DNE12" s="6"/>
      <c r="DNF12" s="5"/>
      <c r="DNJ12" s="5"/>
      <c r="DNK12" s="5"/>
      <c r="DNM12" s="6"/>
      <c r="DNN12" s="5"/>
      <c r="DNR12" s="5"/>
      <c r="DNS12" s="5"/>
      <c r="DNU12" s="6"/>
      <c r="DNV12" s="5"/>
      <c r="DNZ12" s="5"/>
      <c r="DOA12" s="5"/>
      <c r="DOC12" s="6"/>
      <c r="DOD12" s="5"/>
      <c r="DOH12" s="5"/>
      <c r="DOI12" s="5"/>
      <c r="DOK12" s="6"/>
      <c r="DOL12" s="5"/>
      <c r="DOP12" s="5"/>
      <c r="DOQ12" s="5"/>
      <c r="DOS12" s="6"/>
      <c r="DOT12" s="5"/>
      <c r="DOX12" s="5"/>
      <c r="DOY12" s="5"/>
      <c r="DPA12" s="6"/>
      <c r="DPB12" s="5"/>
      <c r="DPF12" s="5"/>
      <c r="DPG12" s="5"/>
      <c r="DPI12" s="6"/>
      <c r="DPJ12" s="5"/>
      <c r="DPN12" s="5"/>
      <c r="DPO12" s="5"/>
      <c r="DPQ12" s="6"/>
      <c r="DPR12" s="5"/>
      <c r="DPV12" s="5"/>
      <c r="DPW12" s="5"/>
      <c r="DPY12" s="6"/>
      <c r="DPZ12" s="5"/>
      <c r="DQD12" s="5"/>
      <c r="DQE12" s="5"/>
      <c r="DQG12" s="6"/>
      <c r="DQH12" s="5"/>
      <c r="DQL12" s="5"/>
      <c r="DQM12" s="5"/>
      <c r="DQO12" s="6"/>
      <c r="DQP12" s="5"/>
      <c r="DQT12" s="5"/>
      <c r="DQU12" s="5"/>
      <c r="DQW12" s="6"/>
      <c r="DQX12" s="5"/>
      <c r="DRB12" s="5"/>
      <c r="DRC12" s="5"/>
      <c r="DRE12" s="6"/>
      <c r="DRF12" s="5"/>
      <c r="DRJ12" s="5"/>
      <c r="DRK12" s="5"/>
      <c r="DRM12" s="6"/>
      <c r="DRN12" s="5"/>
      <c r="DRR12" s="5"/>
      <c r="DRS12" s="5"/>
      <c r="DRU12" s="6"/>
      <c r="DRV12" s="5"/>
      <c r="DRZ12" s="5"/>
      <c r="DSA12" s="5"/>
      <c r="DSC12" s="6"/>
      <c r="DSD12" s="5"/>
      <c r="DSH12" s="5"/>
      <c r="DSI12" s="5"/>
      <c r="DSK12" s="6"/>
      <c r="DSL12" s="5"/>
      <c r="DSP12" s="5"/>
      <c r="DSQ12" s="5"/>
      <c r="DSS12" s="6"/>
      <c r="DST12" s="5"/>
      <c r="DSX12" s="5"/>
      <c r="DSY12" s="5"/>
      <c r="DTA12" s="6"/>
      <c r="DTB12" s="5"/>
      <c r="DTF12" s="5"/>
      <c r="DTG12" s="5"/>
      <c r="DTI12" s="6"/>
      <c r="DTJ12" s="5"/>
      <c r="DTN12" s="5"/>
      <c r="DTO12" s="5"/>
      <c r="DTQ12" s="6"/>
      <c r="DTR12" s="5"/>
      <c r="DTV12" s="5"/>
      <c r="DTW12" s="5"/>
      <c r="DTY12" s="6"/>
      <c r="DTZ12" s="5"/>
      <c r="DUD12" s="5"/>
      <c r="DUE12" s="5"/>
      <c r="DUG12" s="6"/>
      <c r="DUH12" s="5"/>
      <c r="DUL12" s="5"/>
      <c r="DUM12" s="5"/>
      <c r="DUO12" s="6"/>
      <c r="DUP12" s="5"/>
      <c r="DUT12" s="5"/>
      <c r="DUU12" s="5"/>
      <c r="DUW12" s="6"/>
      <c r="DUX12" s="5"/>
      <c r="DVB12" s="5"/>
      <c r="DVC12" s="5"/>
      <c r="DVE12" s="6"/>
      <c r="DVF12" s="5"/>
      <c r="DVJ12" s="5"/>
      <c r="DVK12" s="5"/>
      <c r="DVM12" s="6"/>
      <c r="DVN12" s="5"/>
      <c r="DVR12" s="5"/>
      <c r="DVS12" s="5"/>
      <c r="DVU12" s="6"/>
      <c r="DVV12" s="5"/>
      <c r="DVZ12" s="5"/>
      <c r="DWA12" s="5"/>
      <c r="DWC12" s="6"/>
      <c r="DWD12" s="5"/>
      <c r="DWH12" s="5"/>
      <c r="DWI12" s="5"/>
      <c r="DWK12" s="6"/>
      <c r="DWL12" s="5"/>
      <c r="DWP12" s="5"/>
      <c r="DWQ12" s="5"/>
      <c r="DWS12" s="6"/>
      <c r="DWT12" s="5"/>
      <c r="DWX12" s="5"/>
      <c r="DWY12" s="5"/>
      <c r="DXA12" s="6"/>
      <c r="DXB12" s="5"/>
      <c r="DXF12" s="5"/>
      <c r="DXG12" s="5"/>
      <c r="DXI12" s="6"/>
      <c r="DXJ12" s="5"/>
      <c r="DXN12" s="5"/>
      <c r="DXO12" s="5"/>
      <c r="DXQ12" s="6"/>
      <c r="DXR12" s="5"/>
      <c r="DXV12" s="5"/>
      <c r="DXW12" s="5"/>
      <c r="DXY12" s="6"/>
      <c r="DXZ12" s="5"/>
      <c r="DYD12" s="5"/>
      <c r="DYE12" s="5"/>
      <c r="DYG12" s="6"/>
      <c r="DYH12" s="5"/>
      <c r="DYL12" s="5"/>
      <c r="DYM12" s="5"/>
      <c r="DYO12" s="6"/>
      <c r="DYP12" s="5"/>
      <c r="DYT12" s="5"/>
      <c r="DYU12" s="5"/>
      <c r="DYW12" s="6"/>
      <c r="DYX12" s="5"/>
      <c r="DZB12" s="5"/>
      <c r="DZC12" s="5"/>
      <c r="DZE12" s="6"/>
      <c r="DZF12" s="5"/>
      <c r="DZJ12" s="5"/>
      <c r="DZK12" s="5"/>
      <c r="DZM12" s="6"/>
      <c r="DZN12" s="5"/>
      <c r="DZR12" s="5"/>
      <c r="DZS12" s="5"/>
      <c r="DZU12" s="6"/>
      <c r="DZV12" s="5"/>
      <c r="DZZ12" s="5"/>
      <c r="EAA12" s="5"/>
      <c r="EAC12" s="6"/>
      <c r="EAD12" s="5"/>
      <c r="EAH12" s="5"/>
      <c r="EAI12" s="5"/>
      <c r="EAK12" s="6"/>
      <c r="EAL12" s="5"/>
      <c r="EAP12" s="5"/>
      <c r="EAQ12" s="5"/>
      <c r="EAS12" s="6"/>
      <c r="EAT12" s="5"/>
      <c r="EAX12" s="5"/>
      <c r="EAY12" s="5"/>
      <c r="EBA12" s="6"/>
      <c r="EBB12" s="5"/>
      <c r="EBF12" s="5"/>
      <c r="EBG12" s="5"/>
      <c r="EBI12" s="6"/>
      <c r="EBJ12" s="5"/>
      <c r="EBN12" s="5"/>
      <c r="EBO12" s="5"/>
      <c r="EBQ12" s="6"/>
      <c r="EBR12" s="5"/>
      <c r="EBV12" s="5"/>
      <c r="EBW12" s="5"/>
      <c r="EBY12" s="6"/>
      <c r="EBZ12" s="5"/>
      <c r="ECD12" s="5"/>
      <c r="ECE12" s="5"/>
      <c r="ECG12" s="6"/>
      <c r="ECH12" s="5"/>
      <c r="ECL12" s="5"/>
      <c r="ECM12" s="5"/>
      <c r="ECO12" s="6"/>
      <c r="ECP12" s="5"/>
      <c r="ECT12" s="5"/>
      <c r="ECU12" s="5"/>
      <c r="ECW12" s="6"/>
      <c r="ECX12" s="5"/>
      <c r="EDB12" s="5"/>
      <c r="EDC12" s="5"/>
      <c r="EDE12" s="6"/>
      <c r="EDF12" s="5"/>
      <c r="EDJ12" s="5"/>
      <c r="EDK12" s="5"/>
      <c r="EDM12" s="6"/>
      <c r="EDN12" s="5"/>
      <c r="EDR12" s="5"/>
      <c r="EDS12" s="5"/>
      <c r="EDU12" s="6"/>
      <c r="EDV12" s="5"/>
      <c r="EDZ12" s="5"/>
      <c r="EEA12" s="5"/>
      <c r="EEC12" s="6"/>
      <c r="EED12" s="5"/>
      <c r="EEH12" s="5"/>
      <c r="EEI12" s="5"/>
      <c r="EEK12" s="6"/>
      <c r="EEL12" s="5"/>
      <c r="EEP12" s="5"/>
      <c r="EEQ12" s="5"/>
      <c r="EES12" s="6"/>
      <c r="EET12" s="5"/>
      <c r="EEX12" s="5"/>
      <c r="EEY12" s="5"/>
      <c r="EFA12" s="6"/>
      <c r="EFB12" s="5"/>
      <c r="EFF12" s="5"/>
      <c r="EFG12" s="5"/>
      <c r="EFI12" s="6"/>
      <c r="EFJ12" s="5"/>
      <c r="EFN12" s="5"/>
      <c r="EFO12" s="5"/>
      <c r="EFQ12" s="6"/>
      <c r="EFR12" s="5"/>
      <c r="EFV12" s="5"/>
      <c r="EFW12" s="5"/>
      <c r="EFY12" s="6"/>
      <c r="EFZ12" s="5"/>
      <c r="EGD12" s="5"/>
      <c r="EGE12" s="5"/>
      <c r="EGG12" s="6"/>
      <c r="EGH12" s="5"/>
      <c r="EGL12" s="5"/>
      <c r="EGM12" s="5"/>
      <c r="EGO12" s="6"/>
      <c r="EGP12" s="5"/>
      <c r="EGT12" s="5"/>
      <c r="EGU12" s="5"/>
      <c r="EGW12" s="6"/>
      <c r="EGX12" s="5"/>
      <c r="EHB12" s="5"/>
      <c r="EHC12" s="5"/>
      <c r="EHE12" s="6"/>
      <c r="EHF12" s="5"/>
      <c r="EHJ12" s="5"/>
      <c r="EHK12" s="5"/>
      <c r="EHM12" s="6"/>
      <c r="EHN12" s="5"/>
      <c r="EHR12" s="5"/>
      <c r="EHS12" s="5"/>
      <c r="EHU12" s="6"/>
      <c r="EHV12" s="5"/>
      <c r="EHZ12" s="5"/>
      <c r="EIA12" s="5"/>
      <c r="EIC12" s="6"/>
      <c r="EID12" s="5"/>
      <c r="EIH12" s="5"/>
      <c r="EII12" s="5"/>
      <c r="EIK12" s="6"/>
      <c r="EIL12" s="5"/>
      <c r="EIP12" s="5"/>
      <c r="EIQ12" s="5"/>
      <c r="EIS12" s="6"/>
      <c r="EIT12" s="5"/>
      <c r="EIX12" s="5"/>
      <c r="EIY12" s="5"/>
      <c r="EJA12" s="6"/>
      <c r="EJB12" s="5"/>
      <c r="EJF12" s="5"/>
      <c r="EJG12" s="5"/>
      <c r="EJI12" s="6"/>
      <c r="EJJ12" s="5"/>
      <c r="EJN12" s="5"/>
      <c r="EJO12" s="5"/>
      <c r="EJQ12" s="6"/>
      <c r="EJR12" s="5"/>
      <c r="EJV12" s="5"/>
      <c r="EJW12" s="5"/>
      <c r="EJY12" s="6"/>
      <c r="EJZ12" s="5"/>
      <c r="EKD12" s="5"/>
      <c r="EKE12" s="5"/>
      <c r="EKG12" s="6"/>
      <c r="EKH12" s="5"/>
      <c r="EKL12" s="5"/>
      <c r="EKM12" s="5"/>
      <c r="EKO12" s="6"/>
      <c r="EKP12" s="5"/>
      <c r="EKT12" s="5"/>
      <c r="EKU12" s="5"/>
      <c r="EKW12" s="6"/>
      <c r="EKX12" s="5"/>
      <c r="ELB12" s="5"/>
      <c r="ELC12" s="5"/>
      <c r="ELE12" s="6"/>
      <c r="ELF12" s="5"/>
      <c r="ELJ12" s="5"/>
      <c r="ELK12" s="5"/>
      <c r="ELM12" s="6"/>
      <c r="ELN12" s="5"/>
      <c r="ELR12" s="5"/>
      <c r="ELS12" s="5"/>
      <c r="ELU12" s="6"/>
      <c r="ELV12" s="5"/>
      <c r="ELZ12" s="5"/>
      <c r="EMA12" s="5"/>
      <c r="EMC12" s="6"/>
      <c r="EMD12" s="5"/>
      <c r="EMH12" s="5"/>
      <c r="EMI12" s="5"/>
      <c r="EMK12" s="6"/>
      <c r="EML12" s="5"/>
      <c r="EMP12" s="5"/>
      <c r="EMQ12" s="5"/>
      <c r="EMS12" s="6"/>
      <c r="EMT12" s="5"/>
      <c r="EMX12" s="5"/>
      <c r="EMY12" s="5"/>
      <c r="ENA12" s="6"/>
      <c r="ENB12" s="5"/>
      <c r="ENF12" s="5"/>
      <c r="ENG12" s="5"/>
      <c r="ENI12" s="6"/>
      <c r="ENJ12" s="5"/>
      <c r="ENN12" s="5"/>
      <c r="ENO12" s="5"/>
      <c r="ENQ12" s="6"/>
      <c r="ENR12" s="5"/>
      <c r="ENV12" s="5"/>
      <c r="ENW12" s="5"/>
      <c r="ENY12" s="6"/>
      <c r="ENZ12" s="5"/>
      <c r="EOD12" s="5"/>
      <c r="EOE12" s="5"/>
      <c r="EOG12" s="6"/>
      <c r="EOH12" s="5"/>
      <c r="EOL12" s="5"/>
      <c r="EOM12" s="5"/>
      <c r="EOO12" s="6"/>
      <c r="EOP12" s="5"/>
      <c r="EOT12" s="5"/>
      <c r="EOU12" s="5"/>
      <c r="EOW12" s="6"/>
      <c r="EOX12" s="5"/>
      <c r="EPB12" s="5"/>
      <c r="EPC12" s="5"/>
      <c r="EPE12" s="6"/>
      <c r="EPF12" s="5"/>
      <c r="EPJ12" s="5"/>
      <c r="EPK12" s="5"/>
      <c r="EPM12" s="6"/>
      <c r="EPN12" s="5"/>
      <c r="EPR12" s="5"/>
      <c r="EPS12" s="5"/>
      <c r="EPU12" s="6"/>
      <c r="EPV12" s="5"/>
      <c r="EPZ12" s="5"/>
      <c r="EQA12" s="5"/>
      <c r="EQC12" s="6"/>
      <c r="EQD12" s="5"/>
      <c r="EQH12" s="5"/>
      <c r="EQI12" s="5"/>
      <c r="EQK12" s="6"/>
      <c r="EQL12" s="5"/>
      <c r="EQP12" s="5"/>
      <c r="EQQ12" s="5"/>
      <c r="EQS12" s="6"/>
      <c r="EQT12" s="5"/>
      <c r="EQX12" s="5"/>
      <c r="EQY12" s="5"/>
      <c r="ERA12" s="6"/>
      <c r="ERB12" s="5"/>
      <c r="ERF12" s="5"/>
      <c r="ERG12" s="5"/>
      <c r="ERI12" s="6"/>
      <c r="ERJ12" s="5"/>
      <c r="ERN12" s="5"/>
      <c r="ERO12" s="5"/>
      <c r="ERQ12" s="6"/>
      <c r="ERR12" s="5"/>
      <c r="ERV12" s="5"/>
      <c r="ERW12" s="5"/>
      <c r="ERY12" s="6"/>
      <c r="ERZ12" s="5"/>
      <c r="ESD12" s="5"/>
      <c r="ESE12" s="5"/>
      <c r="ESG12" s="6"/>
      <c r="ESH12" s="5"/>
      <c r="ESL12" s="5"/>
      <c r="ESM12" s="5"/>
      <c r="ESO12" s="6"/>
      <c r="ESP12" s="5"/>
      <c r="EST12" s="5"/>
      <c r="ESU12" s="5"/>
      <c r="ESW12" s="6"/>
      <c r="ESX12" s="5"/>
      <c r="ETB12" s="5"/>
      <c r="ETC12" s="5"/>
      <c r="ETE12" s="6"/>
      <c r="ETF12" s="5"/>
      <c r="ETJ12" s="5"/>
      <c r="ETK12" s="5"/>
      <c r="ETM12" s="6"/>
      <c r="ETN12" s="5"/>
      <c r="ETR12" s="5"/>
      <c r="ETS12" s="5"/>
      <c r="ETU12" s="6"/>
      <c r="ETV12" s="5"/>
      <c r="ETZ12" s="5"/>
      <c r="EUA12" s="5"/>
      <c r="EUC12" s="6"/>
      <c r="EUD12" s="5"/>
      <c r="EUH12" s="5"/>
      <c r="EUI12" s="5"/>
      <c r="EUK12" s="6"/>
      <c r="EUL12" s="5"/>
      <c r="EUP12" s="5"/>
      <c r="EUQ12" s="5"/>
      <c r="EUS12" s="6"/>
      <c r="EUT12" s="5"/>
      <c r="EUX12" s="5"/>
      <c r="EUY12" s="5"/>
      <c r="EVA12" s="6"/>
      <c r="EVB12" s="5"/>
      <c r="EVF12" s="5"/>
      <c r="EVG12" s="5"/>
      <c r="EVI12" s="6"/>
      <c r="EVJ12" s="5"/>
      <c r="EVN12" s="5"/>
      <c r="EVO12" s="5"/>
      <c r="EVQ12" s="6"/>
      <c r="EVR12" s="5"/>
      <c r="EVV12" s="5"/>
      <c r="EVW12" s="5"/>
      <c r="EVY12" s="6"/>
      <c r="EVZ12" s="5"/>
      <c r="EWD12" s="5"/>
      <c r="EWE12" s="5"/>
      <c r="EWG12" s="6"/>
      <c r="EWH12" s="5"/>
      <c r="EWL12" s="5"/>
      <c r="EWM12" s="5"/>
      <c r="EWO12" s="6"/>
      <c r="EWP12" s="5"/>
      <c r="EWT12" s="5"/>
      <c r="EWU12" s="5"/>
      <c r="EWW12" s="6"/>
      <c r="EWX12" s="5"/>
      <c r="EXB12" s="5"/>
      <c r="EXC12" s="5"/>
      <c r="EXE12" s="6"/>
      <c r="EXF12" s="5"/>
      <c r="EXJ12" s="5"/>
      <c r="EXK12" s="5"/>
      <c r="EXM12" s="6"/>
      <c r="EXN12" s="5"/>
      <c r="EXR12" s="5"/>
      <c r="EXS12" s="5"/>
      <c r="EXU12" s="6"/>
      <c r="EXV12" s="5"/>
      <c r="EXZ12" s="5"/>
      <c r="EYA12" s="5"/>
      <c r="EYC12" s="6"/>
      <c r="EYD12" s="5"/>
      <c r="EYH12" s="5"/>
      <c r="EYI12" s="5"/>
      <c r="EYK12" s="6"/>
      <c r="EYL12" s="5"/>
      <c r="EYP12" s="5"/>
      <c r="EYQ12" s="5"/>
      <c r="EYS12" s="6"/>
      <c r="EYT12" s="5"/>
      <c r="EYX12" s="5"/>
      <c r="EYY12" s="5"/>
      <c r="EZA12" s="6"/>
      <c r="EZB12" s="5"/>
      <c r="EZF12" s="5"/>
      <c r="EZG12" s="5"/>
      <c r="EZI12" s="6"/>
      <c r="EZJ12" s="5"/>
      <c r="EZN12" s="5"/>
      <c r="EZO12" s="5"/>
      <c r="EZQ12" s="6"/>
      <c r="EZR12" s="5"/>
      <c r="EZV12" s="5"/>
      <c r="EZW12" s="5"/>
      <c r="EZY12" s="6"/>
      <c r="EZZ12" s="5"/>
      <c r="FAD12" s="5"/>
      <c r="FAE12" s="5"/>
      <c r="FAG12" s="6"/>
      <c r="FAH12" s="5"/>
      <c r="FAL12" s="5"/>
      <c r="FAM12" s="5"/>
      <c r="FAO12" s="6"/>
      <c r="FAP12" s="5"/>
      <c r="FAT12" s="5"/>
      <c r="FAU12" s="5"/>
      <c r="FAW12" s="6"/>
      <c r="FAX12" s="5"/>
      <c r="FBB12" s="5"/>
      <c r="FBC12" s="5"/>
      <c r="FBE12" s="6"/>
      <c r="FBF12" s="5"/>
      <c r="FBJ12" s="5"/>
      <c r="FBK12" s="5"/>
      <c r="FBM12" s="6"/>
      <c r="FBN12" s="5"/>
      <c r="FBR12" s="5"/>
      <c r="FBS12" s="5"/>
      <c r="FBU12" s="6"/>
      <c r="FBV12" s="5"/>
      <c r="FBZ12" s="5"/>
      <c r="FCA12" s="5"/>
      <c r="FCC12" s="6"/>
      <c r="FCD12" s="5"/>
      <c r="FCH12" s="5"/>
      <c r="FCI12" s="5"/>
      <c r="FCK12" s="6"/>
      <c r="FCL12" s="5"/>
      <c r="FCP12" s="5"/>
      <c r="FCQ12" s="5"/>
      <c r="FCS12" s="6"/>
      <c r="FCT12" s="5"/>
      <c r="FCX12" s="5"/>
      <c r="FCY12" s="5"/>
      <c r="FDA12" s="6"/>
      <c r="FDB12" s="5"/>
      <c r="FDF12" s="5"/>
      <c r="FDG12" s="5"/>
      <c r="FDI12" s="6"/>
      <c r="FDJ12" s="5"/>
      <c r="FDN12" s="5"/>
      <c r="FDO12" s="5"/>
      <c r="FDQ12" s="6"/>
      <c r="FDR12" s="5"/>
      <c r="FDV12" s="5"/>
      <c r="FDW12" s="5"/>
      <c r="FDY12" s="6"/>
      <c r="FDZ12" s="5"/>
      <c r="FED12" s="5"/>
      <c r="FEE12" s="5"/>
      <c r="FEG12" s="6"/>
      <c r="FEH12" s="5"/>
      <c r="FEL12" s="5"/>
      <c r="FEM12" s="5"/>
      <c r="FEO12" s="6"/>
      <c r="FEP12" s="5"/>
      <c r="FET12" s="5"/>
      <c r="FEU12" s="5"/>
      <c r="FEW12" s="6"/>
      <c r="FEX12" s="5"/>
      <c r="FFB12" s="5"/>
      <c r="FFC12" s="5"/>
      <c r="FFE12" s="6"/>
      <c r="FFF12" s="5"/>
      <c r="FFJ12" s="5"/>
      <c r="FFK12" s="5"/>
      <c r="FFM12" s="6"/>
      <c r="FFN12" s="5"/>
      <c r="FFR12" s="5"/>
      <c r="FFS12" s="5"/>
      <c r="FFU12" s="6"/>
      <c r="FFV12" s="5"/>
      <c r="FFZ12" s="5"/>
      <c r="FGA12" s="5"/>
      <c r="FGC12" s="6"/>
      <c r="FGD12" s="5"/>
      <c r="FGH12" s="5"/>
      <c r="FGI12" s="5"/>
      <c r="FGK12" s="6"/>
      <c r="FGL12" s="5"/>
      <c r="FGP12" s="5"/>
      <c r="FGQ12" s="5"/>
      <c r="FGS12" s="6"/>
      <c r="FGT12" s="5"/>
      <c r="FGX12" s="5"/>
      <c r="FGY12" s="5"/>
      <c r="FHA12" s="6"/>
      <c r="FHB12" s="5"/>
      <c r="FHF12" s="5"/>
      <c r="FHG12" s="5"/>
      <c r="FHI12" s="6"/>
      <c r="FHJ12" s="5"/>
      <c r="FHN12" s="5"/>
      <c r="FHO12" s="5"/>
      <c r="FHQ12" s="6"/>
      <c r="FHR12" s="5"/>
      <c r="FHV12" s="5"/>
      <c r="FHW12" s="5"/>
      <c r="FHY12" s="6"/>
      <c r="FHZ12" s="5"/>
      <c r="FID12" s="5"/>
      <c r="FIE12" s="5"/>
      <c r="FIG12" s="6"/>
      <c r="FIH12" s="5"/>
      <c r="FIL12" s="5"/>
      <c r="FIM12" s="5"/>
      <c r="FIO12" s="6"/>
      <c r="FIP12" s="5"/>
      <c r="FIT12" s="5"/>
      <c r="FIU12" s="5"/>
      <c r="FIW12" s="6"/>
      <c r="FIX12" s="5"/>
      <c r="FJB12" s="5"/>
      <c r="FJC12" s="5"/>
      <c r="FJE12" s="6"/>
      <c r="FJF12" s="5"/>
      <c r="FJJ12" s="5"/>
      <c r="FJK12" s="5"/>
      <c r="FJM12" s="6"/>
      <c r="FJN12" s="5"/>
      <c r="FJR12" s="5"/>
      <c r="FJS12" s="5"/>
      <c r="FJU12" s="6"/>
      <c r="FJV12" s="5"/>
      <c r="FJZ12" s="5"/>
      <c r="FKA12" s="5"/>
      <c r="FKC12" s="6"/>
      <c r="FKD12" s="5"/>
      <c r="FKH12" s="5"/>
      <c r="FKI12" s="5"/>
      <c r="FKK12" s="6"/>
      <c r="FKL12" s="5"/>
      <c r="FKP12" s="5"/>
      <c r="FKQ12" s="5"/>
      <c r="FKS12" s="6"/>
      <c r="FKT12" s="5"/>
      <c r="FKX12" s="5"/>
      <c r="FKY12" s="5"/>
      <c r="FLA12" s="6"/>
      <c r="FLB12" s="5"/>
      <c r="FLF12" s="5"/>
      <c r="FLG12" s="5"/>
      <c r="FLI12" s="6"/>
      <c r="FLJ12" s="5"/>
      <c r="FLN12" s="5"/>
      <c r="FLO12" s="5"/>
      <c r="FLQ12" s="6"/>
      <c r="FLR12" s="5"/>
      <c r="FLV12" s="5"/>
      <c r="FLW12" s="5"/>
      <c r="FLY12" s="6"/>
      <c r="FLZ12" s="5"/>
      <c r="FMD12" s="5"/>
      <c r="FME12" s="5"/>
      <c r="FMG12" s="6"/>
      <c r="FMH12" s="5"/>
      <c r="FML12" s="5"/>
      <c r="FMM12" s="5"/>
      <c r="FMO12" s="6"/>
      <c r="FMP12" s="5"/>
      <c r="FMT12" s="5"/>
      <c r="FMU12" s="5"/>
      <c r="FMW12" s="6"/>
      <c r="FMX12" s="5"/>
      <c r="FNB12" s="5"/>
      <c r="FNC12" s="5"/>
      <c r="FNE12" s="6"/>
      <c r="FNF12" s="5"/>
      <c r="FNJ12" s="5"/>
      <c r="FNK12" s="5"/>
      <c r="FNM12" s="6"/>
      <c r="FNN12" s="5"/>
      <c r="FNR12" s="5"/>
      <c r="FNS12" s="5"/>
      <c r="FNU12" s="6"/>
      <c r="FNV12" s="5"/>
      <c r="FNZ12" s="5"/>
      <c r="FOA12" s="5"/>
      <c r="FOC12" s="6"/>
      <c r="FOD12" s="5"/>
      <c r="FOH12" s="5"/>
      <c r="FOI12" s="5"/>
      <c r="FOK12" s="6"/>
      <c r="FOL12" s="5"/>
      <c r="FOP12" s="5"/>
      <c r="FOQ12" s="5"/>
      <c r="FOS12" s="6"/>
      <c r="FOT12" s="5"/>
      <c r="FOX12" s="5"/>
      <c r="FOY12" s="5"/>
      <c r="FPA12" s="6"/>
      <c r="FPB12" s="5"/>
      <c r="FPF12" s="5"/>
      <c r="FPG12" s="5"/>
      <c r="FPI12" s="6"/>
      <c r="FPJ12" s="5"/>
      <c r="FPN12" s="5"/>
      <c r="FPO12" s="5"/>
      <c r="FPQ12" s="6"/>
      <c r="FPR12" s="5"/>
      <c r="FPV12" s="5"/>
      <c r="FPW12" s="5"/>
      <c r="FPY12" s="6"/>
      <c r="FPZ12" s="5"/>
      <c r="FQD12" s="5"/>
      <c r="FQE12" s="5"/>
      <c r="FQG12" s="6"/>
      <c r="FQH12" s="5"/>
      <c r="FQL12" s="5"/>
      <c r="FQM12" s="5"/>
      <c r="FQO12" s="6"/>
      <c r="FQP12" s="5"/>
      <c r="FQT12" s="5"/>
      <c r="FQU12" s="5"/>
      <c r="FQW12" s="6"/>
      <c r="FQX12" s="5"/>
      <c r="FRB12" s="5"/>
      <c r="FRC12" s="5"/>
      <c r="FRE12" s="6"/>
      <c r="FRF12" s="5"/>
      <c r="FRJ12" s="5"/>
      <c r="FRK12" s="5"/>
      <c r="FRM12" s="6"/>
      <c r="FRN12" s="5"/>
      <c r="FRR12" s="5"/>
      <c r="FRS12" s="5"/>
      <c r="FRU12" s="6"/>
      <c r="FRV12" s="5"/>
      <c r="FRZ12" s="5"/>
      <c r="FSA12" s="5"/>
      <c r="FSC12" s="6"/>
      <c r="FSD12" s="5"/>
      <c r="FSH12" s="5"/>
      <c r="FSI12" s="5"/>
      <c r="FSK12" s="6"/>
      <c r="FSL12" s="5"/>
      <c r="FSP12" s="5"/>
      <c r="FSQ12" s="5"/>
      <c r="FSS12" s="6"/>
      <c r="FST12" s="5"/>
      <c r="FSX12" s="5"/>
      <c r="FSY12" s="5"/>
      <c r="FTA12" s="6"/>
      <c r="FTB12" s="5"/>
      <c r="FTF12" s="5"/>
      <c r="FTG12" s="5"/>
      <c r="FTI12" s="6"/>
      <c r="FTJ12" s="5"/>
      <c r="FTN12" s="5"/>
      <c r="FTO12" s="5"/>
      <c r="FTQ12" s="6"/>
      <c r="FTR12" s="5"/>
      <c r="FTV12" s="5"/>
      <c r="FTW12" s="5"/>
      <c r="FTY12" s="6"/>
      <c r="FTZ12" s="5"/>
      <c r="FUD12" s="5"/>
      <c r="FUE12" s="5"/>
      <c r="FUG12" s="6"/>
      <c r="FUH12" s="5"/>
      <c r="FUL12" s="5"/>
      <c r="FUM12" s="5"/>
      <c r="FUO12" s="6"/>
      <c r="FUP12" s="5"/>
      <c r="FUT12" s="5"/>
      <c r="FUU12" s="5"/>
      <c r="FUW12" s="6"/>
      <c r="FUX12" s="5"/>
      <c r="FVB12" s="5"/>
      <c r="FVC12" s="5"/>
      <c r="FVE12" s="6"/>
      <c r="FVF12" s="5"/>
      <c r="FVJ12" s="5"/>
      <c r="FVK12" s="5"/>
      <c r="FVM12" s="6"/>
      <c r="FVN12" s="5"/>
      <c r="FVR12" s="5"/>
      <c r="FVS12" s="5"/>
      <c r="FVU12" s="6"/>
      <c r="FVV12" s="5"/>
      <c r="FVZ12" s="5"/>
      <c r="FWA12" s="5"/>
      <c r="FWC12" s="6"/>
      <c r="FWD12" s="5"/>
      <c r="FWH12" s="5"/>
      <c r="FWI12" s="5"/>
      <c r="FWK12" s="6"/>
      <c r="FWL12" s="5"/>
      <c r="FWP12" s="5"/>
      <c r="FWQ12" s="5"/>
      <c r="FWS12" s="6"/>
      <c r="FWT12" s="5"/>
      <c r="FWX12" s="5"/>
      <c r="FWY12" s="5"/>
      <c r="FXA12" s="6"/>
      <c r="FXB12" s="5"/>
      <c r="FXF12" s="5"/>
      <c r="FXG12" s="5"/>
      <c r="FXI12" s="6"/>
      <c r="FXJ12" s="5"/>
      <c r="FXN12" s="5"/>
      <c r="FXO12" s="5"/>
      <c r="FXQ12" s="6"/>
      <c r="FXR12" s="5"/>
      <c r="FXV12" s="5"/>
      <c r="FXW12" s="5"/>
      <c r="FXY12" s="6"/>
      <c r="FXZ12" s="5"/>
      <c r="FYD12" s="5"/>
      <c r="FYE12" s="5"/>
      <c r="FYG12" s="6"/>
      <c r="FYH12" s="5"/>
      <c r="FYL12" s="5"/>
      <c r="FYM12" s="5"/>
      <c r="FYO12" s="6"/>
      <c r="FYP12" s="5"/>
      <c r="FYT12" s="5"/>
      <c r="FYU12" s="5"/>
      <c r="FYW12" s="6"/>
      <c r="FYX12" s="5"/>
      <c r="FZB12" s="5"/>
      <c r="FZC12" s="5"/>
      <c r="FZE12" s="6"/>
      <c r="FZF12" s="5"/>
      <c r="FZJ12" s="5"/>
      <c r="FZK12" s="5"/>
      <c r="FZM12" s="6"/>
      <c r="FZN12" s="5"/>
      <c r="FZR12" s="5"/>
      <c r="FZS12" s="5"/>
      <c r="FZU12" s="6"/>
      <c r="FZV12" s="5"/>
      <c r="FZZ12" s="5"/>
      <c r="GAA12" s="5"/>
      <c r="GAC12" s="6"/>
      <c r="GAD12" s="5"/>
      <c r="GAH12" s="5"/>
      <c r="GAI12" s="5"/>
      <c r="GAK12" s="6"/>
      <c r="GAL12" s="5"/>
      <c r="GAP12" s="5"/>
      <c r="GAQ12" s="5"/>
      <c r="GAS12" s="6"/>
      <c r="GAT12" s="5"/>
      <c r="GAX12" s="5"/>
      <c r="GAY12" s="5"/>
      <c r="GBA12" s="6"/>
      <c r="GBB12" s="5"/>
      <c r="GBF12" s="5"/>
      <c r="GBG12" s="5"/>
      <c r="GBI12" s="6"/>
      <c r="GBJ12" s="5"/>
      <c r="GBN12" s="5"/>
      <c r="GBO12" s="5"/>
      <c r="GBQ12" s="6"/>
      <c r="GBR12" s="5"/>
      <c r="GBV12" s="5"/>
      <c r="GBW12" s="5"/>
      <c r="GBY12" s="6"/>
      <c r="GBZ12" s="5"/>
      <c r="GCD12" s="5"/>
      <c r="GCE12" s="5"/>
      <c r="GCG12" s="6"/>
      <c r="GCH12" s="5"/>
      <c r="GCL12" s="5"/>
      <c r="GCM12" s="5"/>
      <c r="GCO12" s="6"/>
      <c r="GCP12" s="5"/>
      <c r="GCT12" s="5"/>
      <c r="GCU12" s="5"/>
      <c r="GCW12" s="6"/>
      <c r="GCX12" s="5"/>
      <c r="GDB12" s="5"/>
      <c r="GDC12" s="5"/>
      <c r="GDE12" s="6"/>
      <c r="GDF12" s="5"/>
      <c r="GDJ12" s="5"/>
      <c r="GDK12" s="5"/>
      <c r="GDM12" s="6"/>
      <c r="GDN12" s="5"/>
      <c r="GDR12" s="5"/>
      <c r="GDS12" s="5"/>
      <c r="GDU12" s="6"/>
      <c r="GDV12" s="5"/>
      <c r="GDZ12" s="5"/>
      <c r="GEA12" s="5"/>
      <c r="GEC12" s="6"/>
      <c r="GED12" s="5"/>
      <c r="GEH12" s="5"/>
      <c r="GEI12" s="5"/>
      <c r="GEK12" s="6"/>
      <c r="GEL12" s="5"/>
      <c r="GEP12" s="5"/>
      <c r="GEQ12" s="5"/>
      <c r="GES12" s="6"/>
      <c r="GET12" s="5"/>
      <c r="GEX12" s="5"/>
      <c r="GEY12" s="5"/>
      <c r="GFA12" s="6"/>
      <c r="GFB12" s="5"/>
      <c r="GFF12" s="5"/>
      <c r="GFG12" s="5"/>
      <c r="GFI12" s="6"/>
      <c r="GFJ12" s="5"/>
      <c r="GFN12" s="5"/>
      <c r="GFO12" s="5"/>
      <c r="GFQ12" s="6"/>
      <c r="GFR12" s="5"/>
      <c r="GFV12" s="5"/>
      <c r="GFW12" s="5"/>
      <c r="GFY12" s="6"/>
      <c r="GFZ12" s="5"/>
      <c r="GGD12" s="5"/>
      <c r="GGE12" s="5"/>
      <c r="GGG12" s="6"/>
      <c r="GGH12" s="5"/>
      <c r="GGL12" s="5"/>
      <c r="GGM12" s="5"/>
      <c r="GGO12" s="6"/>
      <c r="GGP12" s="5"/>
      <c r="GGT12" s="5"/>
      <c r="GGU12" s="5"/>
      <c r="GGW12" s="6"/>
      <c r="GGX12" s="5"/>
      <c r="GHB12" s="5"/>
      <c r="GHC12" s="5"/>
      <c r="GHE12" s="6"/>
      <c r="GHF12" s="5"/>
      <c r="GHJ12" s="5"/>
      <c r="GHK12" s="5"/>
      <c r="GHM12" s="6"/>
      <c r="GHN12" s="5"/>
      <c r="GHR12" s="5"/>
      <c r="GHS12" s="5"/>
      <c r="GHU12" s="6"/>
      <c r="GHV12" s="5"/>
      <c r="GHZ12" s="5"/>
      <c r="GIA12" s="5"/>
      <c r="GIC12" s="6"/>
      <c r="GID12" s="5"/>
      <c r="GIH12" s="5"/>
      <c r="GII12" s="5"/>
      <c r="GIK12" s="6"/>
      <c r="GIL12" s="5"/>
      <c r="GIP12" s="5"/>
      <c r="GIQ12" s="5"/>
      <c r="GIS12" s="6"/>
      <c r="GIT12" s="5"/>
      <c r="GIX12" s="5"/>
      <c r="GIY12" s="5"/>
      <c r="GJA12" s="6"/>
      <c r="GJB12" s="5"/>
      <c r="GJF12" s="5"/>
      <c r="GJG12" s="5"/>
      <c r="GJI12" s="6"/>
      <c r="GJJ12" s="5"/>
      <c r="GJN12" s="5"/>
      <c r="GJO12" s="5"/>
      <c r="GJQ12" s="6"/>
      <c r="GJR12" s="5"/>
      <c r="GJV12" s="5"/>
      <c r="GJW12" s="5"/>
      <c r="GJY12" s="6"/>
      <c r="GJZ12" s="5"/>
      <c r="GKD12" s="5"/>
      <c r="GKE12" s="5"/>
      <c r="GKG12" s="6"/>
      <c r="GKH12" s="5"/>
      <c r="GKL12" s="5"/>
      <c r="GKM12" s="5"/>
      <c r="GKO12" s="6"/>
      <c r="GKP12" s="5"/>
      <c r="GKT12" s="5"/>
      <c r="GKU12" s="5"/>
      <c r="GKW12" s="6"/>
      <c r="GKX12" s="5"/>
      <c r="GLB12" s="5"/>
      <c r="GLC12" s="5"/>
      <c r="GLE12" s="6"/>
      <c r="GLF12" s="5"/>
      <c r="GLJ12" s="5"/>
      <c r="GLK12" s="5"/>
      <c r="GLM12" s="6"/>
      <c r="GLN12" s="5"/>
      <c r="GLR12" s="5"/>
      <c r="GLS12" s="5"/>
      <c r="GLU12" s="6"/>
      <c r="GLV12" s="5"/>
      <c r="GLZ12" s="5"/>
      <c r="GMA12" s="5"/>
      <c r="GMC12" s="6"/>
      <c r="GMD12" s="5"/>
      <c r="GMH12" s="5"/>
      <c r="GMI12" s="5"/>
      <c r="GMK12" s="6"/>
      <c r="GML12" s="5"/>
      <c r="GMP12" s="5"/>
      <c r="GMQ12" s="5"/>
      <c r="GMS12" s="6"/>
      <c r="GMT12" s="5"/>
      <c r="GMX12" s="5"/>
      <c r="GMY12" s="5"/>
      <c r="GNA12" s="6"/>
      <c r="GNB12" s="5"/>
      <c r="GNF12" s="5"/>
      <c r="GNG12" s="5"/>
      <c r="GNI12" s="6"/>
      <c r="GNJ12" s="5"/>
      <c r="GNN12" s="5"/>
      <c r="GNO12" s="5"/>
      <c r="GNQ12" s="6"/>
      <c r="GNR12" s="5"/>
      <c r="GNV12" s="5"/>
      <c r="GNW12" s="5"/>
      <c r="GNY12" s="6"/>
      <c r="GNZ12" s="5"/>
      <c r="GOD12" s="5"/>
      <c r="GOE12" s="5"/>
      <c r="GOG12" s="6"/>
      <c r="GOH12" s="5"/>
      <c r="GOL12" s="5"/>
      <c r="GOM12" s="5"/>
      <c r="GOO12" s="6"/>
      <c r="GOP12" s="5"/>
      <c r="GOT12" s="5"/>
      <c r="GOU12" s="5"/>
      <c r="GOW12" s="6"/>
      <c r="GOX12" s="5"/>
      <c r="GPB12" s="5"/>
      <c r="GPC12" s="5"/>
      <c r="GPE12" s="6"/>
      <c r="GPF12" s="5"/>
      <c r="GPJ12" s="5"/>
      <c r="GPK12" s="5"/>
      <c r="GPM12" s="6"/>
      <c r="GPN12" s="5"/>
      <c r="GPR12" s="5"/>
      <c r="GPS12" s="5"/>
      <c r="GPU12" s="6"/>
      <c r="GPV12" s="5"/>
      <c r="GPZ12" s="5"/>
      <c r="GQA12" s="5"/>
      <c r="GQC12" s="6"/>
      <c r="GQD12" s="5"/>
      <c r="GQH12" s="5"/>
      <c r="GQI12" s="5"/>
      <c r="GQK12" s="6"/>
      <c r="GQL12" s="5"/>
      <c r="GQP12" s="5"/>
      <c r="GQQ12" s="5"/>
      <c r="GQS12" s="6"/>
      <c r="GQT12" s="5"/>
      <c r="GQX12" s="5"/>
      <c r="GQY12" s="5"/>
      <c r="GRA12" s="6"/>
      <c r="GRB12" s="5"/>
      <c r="GRF12" s="5"/>
      <c r="GRG12" s="5"/>
      <c r="GRI12" s="6"/>
      <c r="GRJ12" s="5"/>
      <c r="GRN12" s="5"/>
      <c r="GRO12" s="5"/>
      <c r="GRQ12" s="6"/>
      <c r="GRR12" s="5"/>
      <c r="GRV12" s="5"/>
      <c r="GRW12" s="5"/>
      <c r="GRY12" s="6"/>
      <c r="GRZ12" s="5"/>
      <c r="GSD12" s="5"/>
      <c r="GSE12" s="5"/>
      <c r="GSG12" s="6"/>
      <c r="GSH12" s="5"/>
      <c r="GSL12" s="5"/>
      <c r="GSM12" s="5"/>
      <c r="GSO12" s="6"/>
      <c r="GSP12" s="5"/>
      <c r="GST12" s="5"/>
      <c r="GSU12" s="5"/>
      <c r="GSW12" s="6"/>
      <c r="GSX12" s="5"/>
      <c r="GTB12" s="5"/>
      <c r="GTC12" s="5"/>
      <c r="GTE12" s="6"/>
      <c r="GTF12" s="5"/>
      <c r="GTJ12" s="5"/>
      <c r="GTK12" s="5"/>
      <c r="GTM12" s="6"/>
      <c r="GTN12" s="5"/>
      <c r="GTR12" s="5"/>
      <c r="GTS12" s="5"/>
      <c r="GTU12" s="6"/>
      <c r="GTV12" s="5"/>
      <c r="GTZ12" s="5"/>
      <c r="GUA12" s="5"/>
      <c r="GUC12" s="6"/>
      <c r="GUD12" s="5"/>
      <c r="GUH12" s="5"/>
      <c r="GUI12" s="5"/>
      <c r="GUK12" s="6"/>
      <c r="GUL12" s="5"/>
      <c r="GUP12" s="5"/>
      <c r="GUQ12" s="5"/>
      <c r="GUS12" s="6"/>
      <c r="GUT12" s="5"/>
      <c r="GUX12" s="5"/>
      <c r="GUY12" s="5"/>
      <c r="GVA12" s="6"/>
      <c r="GVB12" s="5"/>
      <c r="GVF12" s="5"/>
      <c r="GVG12" s="5"/>
      <c r="GVI12" s="6"/>
      <c r="GVJ12" s="5"/>
      <c r="GVN12" s="5"/>
      <c r="GVO12" s="5"/>
      <c r="GVQ12" s="6"/>
      <c r="GVR12" s="5"/>
      <c r="GVV12" s="5"/>
      <c r="GVW12" s="5"/>
      <c r="GVY12" s="6"/>
      <c r="GVZ12" s="5"/>
      <c r="GWD12" s="5"/>
      <c r="GWE12" s="5"/>
      <c r="GWG12" s="6"/>
      <c r="GWH12" s="5"/>
      <c r="GWL12" s="5"/>
      <c r="GWM12" s="5"/>
      <c r="GWO12" s="6"/>
      <c r="GWP12" s="5"/>
      <c r="GWT12" s="5"/>
      <c r="GWU12" s="5"/>
      <c r="GWW12" s="6"/>
      <c r="GWX12" s="5"/>
      <c r="GXB12" s="5"/>
      <c r="GXC12" s="5"/>
      <c r="GXE12" s="6"/>
      <c r="GXF12" s="5"/>
      <c r="GXJ12" s="5"/>
      <c r="GXK12" s="5"/>
      <c r="GXM12" s="6"/>
      <c r="GXN12" s="5"/>
      <c r="GXR12" s="5"/>
      <c r="GXS12" s="5"/>
      <c r="GXU12" s="6"/>
      <c r="GXV12" s="5"/>
      <c r="GXZ12" s="5"/>
      <c r="GYA12" s="5"/>
      <c r="GYC12" s="6"/>
      <c r="GYD12" s="5"/>
      <c r="GYH12" s="5"/>
      <c r="GYI12" s="5"/>
      <c r="GYK12" s="6"/>
      <c r="GYL12" s="5"/>
      <c r="GYP12" s="5"/>
      <c r="GYQ12" s="5"/>
      <c r="GYS12" s="6"/>
      <c r="GYT12" s="5"/>
      <c r="GYX12" s="5"/>
      <c r="GYY12" s="5"/>
      <c r="GZA12" s="6"/>
      <c r="GZB12" s="5"/>
      <c r="GZF12" s="5"/>
      <c r="GZG12" s="5"/>
      <c r="GZI12" s="6"/>
      <c r="GZJ12" s="5"/>
      <c r="GZN12" s="5"/>
      <c r="GZO12" s="5"/>
      <c r="GZQ12" s="6"/>
      <c r="GZR12" s="5"/>
      <c r="GZV12" s="5"/>
      <c r="GZW12" s="5"/>
      <c r="GZY12" s="6"/>
      <c r="GZZ12" s="5"/>
      <c r="HAD12" s="5"/>
      <c r="HAE12" s="5"/>
      <c r="HAG12" s="6"/>
      <c r="HAH12" s="5"/>
      <c r="HAL12" s="5"/>
      <c r="HAM12" s="5"/>
      <c r="HAO12" s="6"/>
      <c r="HAP12" s="5"/>
      <c r="HAT12" s="5"/>
      <c r="HAU12" s="5"/>
      <c r="HAW12" s="6"/>
      <c r="HAX12" s="5"/>
      <c r="HBB12" s="5"/>
      <c r="HBC12" s="5"/>
      <c r="HBE12" s="6"/>
      <c r="HBF12" s="5"/>
      <c r="HBJ12" s="5"/>
      <c r="HBK12" s="5"/>
      <c r="HBM12" s="6"/>
      <c r="HBN12" s="5"/>
      <c r="HBR12" s="5"/>
      <c r="HBS12" s="5"/>
      <c r="HBU12" s="6"/>
      <c r="HBV12" s="5"/>
      <c r="HBZ12" s="5"/>
      <c r="HCA12" s="5"/>
      <c r="HCC12" s="6"/>
      <c r="HCD12" s="5"/>
      <c r="HCH12" s="5"/>
      <c r="HCI12" s="5"/>
      <c r="HCK12" s="6"/>
      <c r="HCL12" s="5"/>
      <c r="HCP12" s="5"/>
      <c r="HCQ12" s="5"/>
      <c r="HCS12" s="6"/>
      <c r="HCT12" s="5"/>
      <c r="HCX12" s="5"/>
      <c r="HCY12" s="5"/>
      <c r="HDA12" s="6"/>
      <c r="HDB12" s="5"/>
      <c r="HDF12" s="5"/>
      <c r="HDG12" s="5"/>
      <c r="HDI12" s="6"/>
      <c r="HDJ12" s="5"/>
      <c r="HDN12" s="5"/>
      <c r="HDO12" s="5"/>
      <c r="HDQ12" s="6"/>
      <c r="HDR12" s="5"/>
      <c r="HDV12" s="5"/>
      <c r="HDW12" s="5"/>
      <c r="HDY12" s="6"/>
      <c r="HDZ12" s="5"/>
      <c r="HED12" s="5"/>
      <c r="HEE12" s="5"/>
      <c r="HEG12" s="6"/>
      <c r="HEH12" s="5"/>
      <c r="HEL12" s="5"/>
      <c r="HEM12" s="5"/>
      <c r="HEO12" s="6"/>
      <c r="HEP12" s="5"/>
      <c r="HET12" s="5"/>
      <c r="HEU12" s="5"/>
      <c r="HEW12" s="6"/>
      <c r="HEX12" s="5"/>
      <c r="HFB12" s="5"/>
      <c r="HFC12" s="5"/>
      <c r="HFE12" s="6"/>
      <c r="HFF12" s="5"/>
      <c r="HFJ12" s="5"/>
      <c r="HFK12" s="5"/>
      <c r="HFM12" s="6"/>
      <c r="HFN12" s="5"/>
      <c r="HFR12" s="5"/>
      <c r="HFS12" s="5"/>
      <c r="HFU12" s="6"/>
      <c r="HFV12" s="5"/>
      <c r="HFZ12" s="5"/>
      <c r="HGA12" s="5"/>
      <c r="HGC12" s="6"/>
      <c r="HGD12" s="5"/>
      <c r="HGH12" s="5"/>
      <c r="HGI12" s="5"/>
      <c r="HGK12" s="6"/>
      <c r="HGL12" s="5"/>
      <c r="HGP12" s="5"/>
      <c r="HGQ12" s="5"/>
      <c r="HGS12" s="6"/>
      <c r="HGT12" s="5"/>
      <c r="HGX12" s="5"/>
      <c r="HGY12" s="5"/>
      <c r="HHA12" s="6"/>
      <c r="HHB12" s="5"/>
      <c r="HHF12" s="5"/>
      <c r="HHG12" s="5"/>
      <c r="HHI12" s="6"/>
      <c r="HHJ12" s="5"/>
      <c r="HHN12" s="5"/>
      <c r="HHO12" s="5"/>
      <c r="HHQ12" s="6"/>
      <c r="HHR12" s="5"/>
      <c r="HHV12" s="5"/>
      <c r="HHW12" s="5"/>
      <c r="HHY12" s="6"/>
      <c r="HHZ12" s="5"/>
      <c r="HID12" s="5"/>
      <c r="HIE12" s="5"/>
      <c r="HIG12" s="6"/>
      <c r="HIH12" s="5"/>
      <c r="HIL12" s="5"/>
      <c r="HIM12" s="5"/>
      <c r="HIO12" s="6"/>
      <c r="HIP12" s="5"/>
      <c r="HIT12" s="5"/>
      <c r="HIU12" s="5"/>
      <c r="HIW12" s="6"/>
      <c r="HIX12" s="5"/>
      <c r="HJB12" s="5"/>
      <c r="HJC12" s="5"/>
      <c r="HJE12" s="6"/>
      <c r="HJF12" s="5"/>
      <c r="HJJ12" s="5"/>
      <c r="HJK12" s="5"/>
      <c r="HJM12" s="6"/>
      <c r="HJN12" s="5"/>
      <c r="HJR12" s="5"/>
      <c r="HJS12" s="5"/>
      <c r="HJU12" s="6"/>
      <c r="HJV12" s="5"/>
      <c r="HJZ12" s="5"/>
      <c r="HKA12" s="5"/>
      <c r="HKC12" s="6"/>
      <c r="HKD12" s="5"/>
      <c r="HKH12" s="5"/>
      <c r="HKI12" s="5"/>
      <c r="HKK12" s="6"/>
      <c r="HKL12" s="5"/>
      <c r="HKP12" s="5"/>
      <c r="HKQ12" s="5"/>
      <c r="HKS12" s="6"/>
      <c r="HKT12" s="5"/>
      <c r="HKX12" s="5"/>
      <c r="HKY12" s="5"/>
      <c r="HLA12" s="6"/>
      <c r="HLB12" s="5"/>
      <c r="HLF12" s="5"/>
      <c r="HLG12" s="5"/>
      <c r="HLI12" s="6"/>
      <c r="HLJ12" s="5"/>
      <c r="HLN12" s="5"/>
      <c r="HLO12" s="5"/>
      <c r="HLQ12" s="6"/>
      <c r="HLR12" s="5"/>
      <c r="HLV12" s="5"/>
      <c r="HLW12" s="5"/>
      <c r="HLY12" s="6"/>
      <c r="HLZ12" s="5"/>
      <c r="HMD12" s="5"/>
      <c r="HME12" s="5"/>
      <c r="HMG12" s="6"/>
      <c r="HMH12" s="5"/>
      <c r="HML12" s="5"/>
      <c r="HMM12" s="5"/>
      <c r="HMO12" s="6"/>
      <c r="HMP12" s="5"/>
      <c r="HMT12" s="5"/>
      <c r="HMU12" s="5"/>
      <c r="HMW12" s="6"/>
      <c r="HMX12" s="5"/>
      <c r="HNB12" s="5"/>
      <c r="HNC12" s="5"/>
      <c r="HNE12" s="6"/>
      <c r="HNF12" s="5"/>
      <c r="HNJ12" s="5"/>
      <c r="HNK12" s="5"/>
      <c r="HNM12" s="6"/>
      <c r="HNN12" s="5"/>
      <c r="HNR12" s="5"/>
      <c r="HNS12" s="5"/>
      <c r="HNU12" s="6"/>
      <c r="HNV12" s="5"/>
      <c r="HNZ12" s="5"/>
      <c r="HOA12" s="5"/>
      <c r="HOC12" s="6"/>
      <c r="HOD12" s="5"/>
      <c r="HOH12" s="5"/>
      <c r="HOI12" s="5"/>
      <c r="HOK12" s="6"/>
      <c r="HOL12" s="5"/>
      <c r="HOP12" s="5"/>
      <c r="HOQ12" s="5"/>
      <c r="HOS12" s="6"/>
      <c r="HOT12" s="5"/>
      <c r="HOX12" s="5"/>
      <c r="HOY12" s="5"/>
      <c r="HPA12" s="6"/>
      <c r="HPB12" s="5"/>
      <c r="HPF12" s="5"/>
      <c r="HPG12" s="5"/>
      <c r="HPI12" s="6"/>
      <c r="HPJ12" s="5"/>
      <c r="HPN12" s="5"/>
      <c r="HPO12" s="5"/>
      <c r="HPQ12" s="6"/>
      <c r="HPR12" s="5"/>
      <c r="HPV12" s="5"/>
      <c r="HPW12" s="5"/>
      <c r="HPY12" s="6"/>
      <c r="HPZ12" s="5"/>
      <c r="HQD12" s="5"/>
      <c r="HQE12" s="5"/>
      <c r="HQG12" s="6"/>
      <c r="HQH12" s="5"/>
      <c r="HQL12" s="5"/>
      <c r="HQM12" s="5"/>
      <c r="HQO12" s="6"/>
      <c r="HQP12" s="5"/>
      <c r="HQT12" s="5"/>
      <c r="HQU12" s="5"/>
      <c r="HQW12" s="6"/>
      <c r="HQX12" s="5"/>
      <c r="HRB12" s="5"/>
      <c r="HRC12" s="5"/>
      <c r="HRE12" s="6"/>
      <c r="HRF12" s="5"/>
      <c r="HRJ12" s="5"/>
      <c r="HRK12" s="5"/>
      <c r="HRM12" s="6"/>
      <c r="HRN12" s="5"/>
      <c r="HRR12" s="5"/>
      <c r="HRS12" s="5"/>
      <c r="HRU12" s="6"/>
      <c r="HRV12" s="5"/>
      <c r="HRZ12" s="5"/>
      <c r="HSA12" s="5"/>
      <c r="HSC12" s="6"/>
      <c r="HSD12" s="5"/>
      <c r="HSH12" s="5"/>
      <c r="HSI12" s="5"/>
      <c r="HSK12" s="6"/>
      <c r="HSL12" s="5"/>
      <c r="HSP12" s="5"/>
      <c r="HSQ12" s="5"/>
      <c r="HSS12" s="6"/>
      <c r="HST12" s="5"/>
      <c r="HSX12" s="5"/>
      <c r="HSY12" s="5"/>
      <c r="HTA12" s="6"/>
      <c r="HTB12" s="5"/>
      <c r="HTF12" s="5"/>
      <c r="HTG12" s="5"/>
      <c r="HTI12" s="6"/>
      <c r="HTJ12" s="5"/>
      <c r="HTN12" s="5"/>
      <c r="HTO12" s="5"/>
      <c r="HTQ12" s="6"/>
      <c r="HTR12" s="5"/>
      <c r="HTV12" s="5"/>
      <c r="HTW12" s="5"/>
      <c r="HTY12" s="6"/>
      <c r="HTZ12" s="5"/>
      <c r="HUD12" s="5"/>
      <c r="HUE12" s="5"/>
      <c r="HUG12" s="6"/>
      <c r="HUH12" s="5"/>
      <c r="HUL12" s="5"/>
      <c r="HUM12" s="5"/>
      <c r="HUO12" s="6"/>
      <c r="HUP12" s="5"/>
      <c r="HUT12" s="5"/>
      <c r="HUU12" s="5"/>
      <c r="HUW12" s="6"/>
      <c r="HUX12" s="5"/>
      <c r="HVB12" s="5"/>
      <c r="HVC12" s="5"/>
      <c r="HVE12" s="6"/>
      <c r="HVF12" s="5"/>
      <c r="HVJ12" s="5"/>
      <c r="HVK12" s="5"/>
      <c r="HVM12" s="6"/>
      <c r="HVN12" s="5"/>
      <c r="HVR12" s="5"/>
      <c r="HVS12" s="5"/>
      <c r="HVU12" s="6"/>
      <c r="HVV12" s="5"/>
      <c r="HVZ12" s="5"/>
      <c r="HWA12" s="5"/>
      <c r="HWC12" s="6"/>
      <c r="HWD12" s="5"/>
      <c r="HWH12" s="5"/>
      <c r="HWI12" s="5"/>
      <c r="HWK12" s="6"/>
      <c r="HWL12" s="5"/>
      <c r="HWP12" s="5"/>
      <c r="HWQ12" s="5"/>
      <c r="HWS12" s="6"/>
      <c r="HWT12" s="5"/>
      <c r="HWX12" s="5"/>
      <c r="HWY12" s="5"/>
      <c r="HXA12" s="6"/>
      <c r="HXB12" s="5"/>
      <c r="HXF12" s="5"/>
      <c r="HXG12" s="5"/>
      <c r="HXI12" s="6"/>
      <c r="HXJ12" s="5"/>
      <c r="HXN12" s="5"/>
      <c r="HXO12" s="5"/>
      <c r="HXQ12" s="6"/>
      <c r="HXR12" s="5"/>
      <c r="HXV12" s="5"/>
      <c r="HXW12" s="5"/>
      <c r="HXY12" s="6"/>
      <c r="HXZ12" s="5"/>
      <c r="HYD12" s="5"/>
      <c r="HYE12" s="5"/>
      <c r="HYG12" s="6"/>
      <c r="HYH12" s="5"/>
      <c r="HYL12" s="5"/>
      <c r="HYM12" s="5"/>
      <c r="HYO12" s="6"/>
      <c r="HYP12" s="5"/>
      <c r="HYT12" s="5"/>
      <c r="HYU12" s="5"/>
      <c r="HYW12" s="6"/>
      <c r="HYX12" s="5"/>
      <c r="HZB12" s="5"/>
      <c r="HZC12" s="5"/>
      <c r="HZE12" s="6"/>
      <c r="HZF12" s="5"/>
      <c r="HZJ12" s="5"/>
      <c r="HZK12" s="5"/>
      <c r="HZM12" s="6"/>
      <c r="HZN12" s="5"/>
      <c r="HZR12" s="5"/>
      <c r="HZS12" s="5"/>
      <c r="HZU12" s="6"/>
      <c r="HZV12" s="5"/>
      <c r="HZZ12" s="5"/>
      <c r="IAA12" s="5"/>
      <c r="IAC12" s="6"/>
      <c r="IAD12" s="5"/>
      <c r="IAH12" s="5"/>
      <c r="IAI12" s="5"/>
      <c r="IAK12" s="6"/>
      <c r="IAL12" s="5"/>
      <c r="IAP12" s="5"/>
      <c r="IAQ12" s="5"/>
      <c r="IAS12" s="6"/>
      <c r="IAT12" s="5"/>
      <c r="IAX12" s="5"/>
      <c r="IAY12" s="5"/>
      <c r="IBA12" s="6"/>
      <c r="IBB12" s="5"/>
      <c r="IBF12" s="5"/>
      <c r="IBG12" s="5"/>
      <c r="IBI12" s="6"/>
      <c r="IBJ12" s="5"/>
      <c r="IBN12" s="5"/>
      <c r="IBO12" s="5"/>
      <c r="IBQ12" s="6"/>
      <c r="IBR12" s="5"/>
      <c r="IBV12" s="5"/>
      <c r="IBW12" s="5"/>
      <c r="IBY12" s="6"/>
      <c r="IBZ12" s="5"/>
      <c r="ICD12" s="5"/>
      <c r="ICE12" s="5"/>
      <c r="ICG12" s="6"/>
      <c r="ICH12" s="5"/>
      <c r="ICL12" s="5"/>
      <c r="ICM12" s="5"/>
      <c r="ICO12" s="6"/>
      <c r="ICP12" s="5"/>
      <c r="ICT12" s="5"/>
      <c r="ICU12" s="5"/>
      <c r="ICW12" s="6"/>
      <c r="ICX12" s="5"/>
      <c r="IDB12" s="5"/>
      <c r="IDC12" s="5"/>
      <c r="IDE12" s="6"/>
      <c r="IDF12" s="5"/>
      <c r="IDJ12" s="5"/>
      <c r="IDK12" s="5"/>
      <c r="IDM12" s="6"/>
      <c r="IDN12" s="5"/>
      <c r="IDR12" s="5"/>
      <c r="IDS12" s="5"/>
      <c r="IDU12" s="6"/>
      <c r="IDV12" s="5"/>
      <c r="IDZ12" s="5"/>
      <c r="IEA12" s="5"/>
      <c r="IEC12" s="6"/>
      <c r="IED12" s="5"/>
      <c r="IEH12" s="5"/>
      <c r="IEI12" s="5"/>
      <c r="IEK12" s="6"/>
      <c r="IEL12" s="5"/>
      <c r="IEP12" s="5"/>
      <c r="IEQ12" s="5"/>
      <c r="IES12" s="6"/>
      <c r="IET12" s="5"/>
      <c r="IEX12" s="5"/>
      <c r="IEY12" s="5"/>
      <c r="IFA12" s="6"/>
      <c r="IFB12" s="5"/>
      <c r="IFF12" s="5"/>
      <c r="IFG12" s="5"/>
      <c r="IFI12" s="6"/>
      <c r="IFJ12" s="5"/>
      <c r="IFN12" s="5"/>
      <c r="IFO12" s="5"/>
      <c r="IFQ12" s="6"/>
      <c r="IFR12" s="5"/>
      <c r="IFV12" s="5"/>
      <c r="IFW12" s="5"/>
      <c r="IFY12" s="6"/>
      <c r="IFZ12" s="5"/>
      <c r="IGD12" s="5"/>
      <c r="IGE12" s="5"/>
      <c r="IGG12" s="6"/>
      <c r="IGH12" s="5"/>
      <c r="IGL12" s="5"/>
      <c r="IGM12" s="5"/>
      <c r="IGO12" s="6"/>
      <c r="IGP12" s="5"/>
      <c r="IGT12" s="5"/>
      <c r="IGU12" s="5"/>
      <c r="IGW12" s="6"/>
      <c r="IGX12" s="5"/>
      <c r="IHB12" s="5"/>
      <c r="IHC12" s="5"/>
      <c r="IHE12" s="6"/>
      <c r="IHF12" s="5"/>
      <c r="IHJ12" s="5"/>
      <c r="IHK12" s="5"/>
      <c r="IHM12" s="6"/>
      <c r="IHN12" s="5"/>
      <c r="IHR12" s="5"/>
      <c r="IHS12" s="5"/>
      <c r="IHU12" s="6"/>
      <c r="IHV12" s="5"/>
      <c r="IHZ12" s="5"/>
      <c r="IIA12" s="5"/>
      <c r="IIC12" s="6"/>
      <c r="IID12" s="5"/>
      <c r="IIH12" s="5"/>
      <c r="III12" s="5"/>
      <c r="IIK12" s="6"/>
      <c r="IIL12" s="5"/>
      <c r="IIP12" s="5"/>
      <c r="IIQ12" s="5"/>
      <c r="IIS12" s="6"/>
      <c r="IIT12" s="5"/>
      <c r="IIX12" s="5"/>
      <c r="IIY12" s="5"/>
      <c r="IJA12" s="6"/>
      <c r="IJB12" s="5"/>
      <c r="IJF12" s="5"/>
      <c r="IJG12" s="5"/>
      <c r="IJI12" s="6"/>
      <c r="IJJ12" s="5"/>
      <c r="IJN12" s="5"/>
      <c r="IJO12" s="5"/>
      <c r="IJQ12" s="6"/>
      <c r="IJR12" s="5"/>
      <c r="IJV12" s="5"/>
      <c r="IJW12" s="5"/>
      <c r="IJY12" s="6"/>
      <c r="IJZ12" s="5"/>
      <c r="IKD12" s="5"/>
      <c r="IKE12" s="5"/>
      <c r="IKG12" s="6"/>
      <c r="IKH12" s="5"/>
      <c r="IKL12" s="5"/>
      <c r="IKM12" s="5"/>
      <c r="IKO12" s="6"/>
      <c r="IKP12" s="5"/>
      <c r="IKT12" s="5"/>
      <c r="IKU12" s="5"/>
      <c r="IKW12" s="6"/>
      <c r="IKX12" s="5"/>
      <c r="ILB12" s="5"/>
      <c r="ILC12" s="5"/>
      <c r="ILE12" s="6"/>
      <c r="ILF12" s="5"/>
      <c r="ILJ12" s="5"/>
      <c r="ILK12" s="5"/>
      <c r="ILM12" s="6"/>
      <c r="ILN12" s="5"/>
      <c r="ILR12" s="5"/>
      <c r="ILS12" s="5"/>
      <c r="ILU12" s="6"/>
      <c r="ILV12" s="5"/>
      <c r="ILZ12" s="5"/>
      <c r="IMA12" s="5"/>
      <c r="IMC12" s="6"/>
      <c r="IMD12" s="5"/>
      <c r="IMH12" s="5"/>
      <c r="IMI12" s="5"/>
      <c r="IMK12" s="6"/>
      <c r="IML12" s="5"/>
      <c r="IMP12" s="5"/>
      <c r="IMQ12" s="5"/>
      <c r="IMS12" s="6"/>
      <c r="IMT12" s="5"/>
      <c r="IMX12" s="5"/>
      <c r="IMY12" s="5"/>
      <c r="INA12" s="6"/>
      <c r="INB12" s="5"/>
      <c r="INF12" s="5"/>
      <c r="ING12" s="5"/>
      <c r="INI12" s="6"/>
      <c r="INJ12" s="5"/>
      <c r="INN12" s="5"/>
      <c r="INO12" s="5"/>
      <c r="INQ12" s="6"/>
      <c r="INR12" s="5"/>
      <c r="INV12" s="5"/>
      <c r="INW12" s="5"/>
      <c r="INY12" s="6"/>
      <c r="INZ12" s="5"/>
      <c r="IOD12" s="5"/>
      <c r="IOE12" s="5"/>
      <c r="IOG12" s="6"/>
      <c r="IOH12" s="5"/>
      <c r="IOL12" s="5"/>
      <c r="IOM12" s="5"/>
      <c r="IOO12" s="6"/>
      <c r="IOP12" s="5"/>
      <c r="IOT12" s="5"/>
      <c r="IOU12" s="5"/>
      <c r="IOW12" s="6"/>
      <c r="IOX12" s="5"/>
      <c r="IPB12" s="5"/>
      <c r="IPC12" s="5"/>
      <c r="IPE12" s="6"/>
      <c r="IPF12" s="5"/>
      <c r="IPJ12" s="5"/>
      <c r="IPK12" s="5"/>
      <c r="IPM12" s="6"/>
      <c r="IPN12" s="5"/>
      <c r="IPR12" s="5"/>
      <c r="IPS12" s="5"/>
      <c r="IPU12" s="6"/>
      <c r="IPV12" s="5"/>
      <c r="IPZ12" s="5"/>
      <c r="IQA12" s="5"/>
      <c r="IQC12" s="6"/>
      <c r="IQD12" s="5"/>
      <c r="IQH12" s="5"/>
      <c r="IQI12" s="5"/>
      <c r="IQK12" s="6"/>
      <c r="IQL12" s="5"/>
      <c r="IQP12" s="5"/>
      <c r="IQQ12" s="5"/>
      <c r="IQS12" s="6"/>
      <c r="IQT12" s="5"/>
      <c r="IQX12" s="5"/>
      <c r="IQY12" s="5"/>
      <c r="IRA12" s="6"/>
      <c r="IRB12" s="5"/>
      <c r="IRF12" s="5"/>
      <c r="IRG12" s="5"/>
      <c r="IRI12" s="6"/>
      <c r="IRJ12" s="5"/>
      <c r="IRN12" s="5"/>
      <c r="IRO12" s="5"/>
      <c r="IRQ12" s="6"/>
      <c r="IRR12" s="5"/>
      <c r="IRV12" s="5"/>
      <c r="IRW12" s="5"/>
      <c r="IRY12" s="6"/>
      <c r="IRZ12" s="5"/>
      <c r="ISD12" s="5"/>
      <c r="ISE12" s="5"/>
      <c r="ISG12" s="6"/>
      <c r="ISH12" s="5"/>
      <c r="ISL12" s="5"/>
      <c r="ISM12" s="5"/>
      <c r="ISO12" s="6"/>
      <c r="ISP12" s="5"/>
      <c r="IST12" s="5"/>
      <c r="ISU12" s="5"/>
      <c r="ISW12" s="6"/>
      <c r="ISX12" s="5"/>
      <c r="ITB12" s="5"/>
      <c r="ITC12" s="5"/>
      <c r="ITE12" s="6"/>
      <c r="ITF12" s="5"/>
      <c r="ITJ12" s="5"/>
      <c r="ITK12" s="5"/>
      <c r="ITM12" s="6"/>
      <c r="ITN12" s="5"/>
      <c r="ITR12" s="5"/>
      <c r="ITS12" s="5"/>
      <c r="ITU12" s="6"/>
      <c r="ITV12" s="5"/>
      <c r="ITZ12" s="5"/>
      <c r="IUA12" s="5"/>
      <c r="IUC12" s="6"/>
      <c r="IUD12" s="5"/>
      <c r="IUH12" s="5"/>
      <c r="IUI12" s="5"/>
      <c r="IUK12" s="6"/>
      <c r="IUL12" s="5"/>
      <c r="IUP12" s="5"/>
      <c r="IUQ12" s="5"/>
      <c r="IUS12" s="6"/>
      <c r="IUT12" s="5"/>
      <c r="IUX12" s="5"/>
      <c r="IUY12" s="5"/>
      <c r="IVA12" s="6"/>
      <c r="IVB12" s="5"/>
      <c r="IVF12" s="5"/>
      <c r="IVG12" s="5"/>
      <c r="IVI12" s="6"/>
      <c r="IVJ12" s="5"/>
      <c r="IVN12" s="5"/>
      <c r="IVO12" s="5"/>
      <c r="IVQ12" s="6"/>
      <c r="IVR12" s="5"/>
      <c r="IVV12" s="5"/>
      <c r="IVW12" s="5"/>
      <c r="IVY12" s="6"/>
      <c r="IVZ12" s="5"/>
      <c r="IWD12" s="5"/>
      <c r="IWE12" s="5"/>
      <c r="IWG12" s="6"/>
      <c r="IWH12" s="5"/>
      <c r="IWL12" s="5"/>
      <c r="IWM12" s="5"/>
      <c r="IWO12" s="6"/>
      <c r="IWP12" s="5"/>
      <c r="IWT12" s="5"/>
      <c r="IWU12" s="5"/>
      <c r="IWW12" s="6"/>
      <c r="IWX12" s="5"/>
      <c r="IXB12" s="5"/>
      <c r="IXC12" s="5"/>
      <c r="IXE12" s="6"/>
      <c r="IXF12" s="5"/>
      <c r="IXJ12" s="5"/>
      <c r="IXK12" s="5"/>
      <c r="IXM12" s="6"/>
      <c r="IXN12" s="5"/>
      <c r="IXR12" s="5"/>
      <c r="IXS12" s="5"/>
      <c r="IXU12" s="6"/>
      <c r="IXV12" s="5"/>
      <c r="IXZ12" s="5"/>
      <c r="IYA12" s="5"/>
      <c r="IYC12" s="6"/>
      <c r="IYD12" s="5"/>
      <c r="IYH12" s="5"/>
      <c r="IYI12" s="5"/>
      <c r="IYK12" s="6"/>
      <c r="IYL12" s="5"/>
      <c r="IYP12" s="5"/>
      <c r="IYQ12" s="5"/>
      <c r="IYS12" s="6"/>
      <c r="IYT12" s="5"/>
      <c r="IYX12" s="5"/>
      <c r="IYY12" s="5"/>
      <c r="IZA12" s="6"/>
      <c r="IZB12" s="5"/>
      <c r="IZF12" s="5"/>
      <c r="IZG12" s="5"/>
      <c r="IZI12" s="6"/>
      <c r="IZJ12" s="5"/>
      <c r="IZN12" s="5"/>
      <c r="IZO12" s="5"/>
      <c r="IZQ12" s="6"/>
      <c r="IZR12" s="5"/>
      <c r="IZV12" s="5"/>
      <c r="IZW12" s="5"/>
      <c r="IZY12" s="6"/>
      <c r="IZZ12" s="5"/>
      <c r="JAD12" s="5"/>
      <c r="JAE12" s="5"/>
      <c r="JAG12" s="6"/>
      <c r="JAH12" s="5"/>
      <c r="JAL12" s="5"/>
      <c r="JAM12" s="5"/>
      <c r="JAO12" s="6"/>
      <c r="JAP12" s="5"/>
      <c r="JAT12" s="5"/>
      <c r="JAU12" s="5"/>
      <c r="JAW12" s="6"/>
      <c r="JAX12" s="5"/>
      <c r="JBB12" s="5"/>
      <c r="JBC12" s="5"/>
      <c r="JBE12" s="6"/>
      <c r="JBF12" s="5"/>
      <c r="JBJ12" s="5"/>
      <c r="JBK12" s="5"/>
      <c r="JBM12" s="6"/>
      <c r="JBN12" s="5"/>
      <c r="JBR12" s="5"/>
      <c r="JBS12" s="5"/>
      <c r="JBU12" s="6"/>
      <c r="JBV12" s="5"/>
      <c r="JBZ12" s="5"/>
      <c r="JCA12" s="5"/>
      <c r="JCC12" s="6"/>
      <c r="JCD12" s="5"/>
      <c r="JCH12" s="5"/>
      <c r="JCI12" s="5"/>
      <c r="JCK12" s="6"/>
      <c r="JCL12" s="5"/>
      <c r="JCP12" s="5"/>
      <c r="JCQ12" s="5"/>
      <c r="JCS12" s="6"/>
      <c r="JCT12" s="5"/>
      <c r="JCX12" s="5"/>
      <c r="JCY12" s="5"/>
      <c r="JDA12" s="6"/>
      <c r="JDB12" s="5"/>
      <c r="JDF12" s="5"/>
      <c r="JDG12" s="5"/>
      <c r="JDI12" s="6"/>
      <c r="JDJ12" s="5"/>
      <c r="JDN12" s="5"/>
      <c r="JDO12" s="5"/>
      <c r="JDQ12" s="6"/>
      <c r="JDR12" s="5"/>
      <c r="JDV12" s="5"/>
      <c r="JDW12" s="5"/>
      <c r="JDY12" s="6"/>
      <c r="JDZ12" s="5"/>
      <c r="JED12" s="5"/>
      <c r="JEE12" s="5"/>
      <c r="JEG12" s="6"/>
      <c r="JEH12" s="5"/>
      <c r="JEL12" s="5"/>
      <c r="JEM12" s="5"/>
      <c r="JEO12" s="6"/>
      <c r="JEP12" s="5"/>
      <c r="JET12" s="5"/>
      <c r="JEU12" s="5"/>
      <c r="JEW12" s="6"/>
      <c r="JEX12" s="5"/>
      <c r="JFB12" s="5"/>
      <c r="JFC12" s="5"/>
      <c r="JFE12" s="6"/>
      <c r="JFF12" s="5"/>
      <c r="JFJ12" s="5"/>
      <c r="JFK12" s="5"/>
      <c r="JFM12" s="6"/>
      <c r="JFN12" s="5"/>
      <c r="JFR12" s="5"/>
      <c r="JFS12" s="5"/>
      <c r="JFU12" s="6"/>
      <c r="JFV12" s="5"/>
      <c r="JFZ12" s="5"/>
      <c r="JGA12" s="5"/>
      <c r="JGC12" s="6"/>
      <c r="JGD12" s="5"/>
      <c r="JGH12" s="5"/>
      <c r="JGI12" s="5"/>
      <c r="JGK12" s="6"/>
      <c r="JGL12" s="5"/>
      <c r="JGP12" s="5"/>
      <c r="JGQ12" s="5"/>
      <c r="JGS12" s="6"/>
      <c r="JGT12" s="5"/>
      <c r="JGX12" s="5"/>
      <c r="JGY12" s="5"/>
      <c r="JHA12" s="6"/>
      <c r="JHB12" s="5"/>
      <c r="JHF12" s="5"/>
      <c r="JHG12" s="5"/>
      <c r="JHI12" s="6"/>
      <c r="JHJ12" s="5"/>
      <c r="JHN12" s="5"/>
      <c r="JHO12" s="5"/>
      <c r="JHQ12" s="6"/>
      <c r="JHR12" s="5"/>
      <c r="JHV12" s="5"/>
      <c r="JHW12" s="5"/>
      <c r="JHY12" s="6"/>
      <c r="JHZ12" s="5"/>
      <c r="JID12" s="5"/>
      <c r="JIE12" s="5"/>
      <c r="JIG12" s="6"/>
      <c r="JIH12" s="5"/>
      <c r="JIL12" s="5"/>
      <c r="JIM12" s="5"/>
      <c r="JIO12" s="6"/>
      <c r="JIP12" s="5"/>
      <c r="JIT12" s="5"/>
      <c r="JIU12" s="5"/>
      <c r="JIW12" s="6"/>
      <c r="JIX12" s="5"/>
      <c r="JJB12" s="5"/>
      <c r="JJC12" s="5"/>
      <c r="JJE12" s="6"/>
      <c r="JJF12" s="5"/>
      <c r="JJJ12" s="5"/>
      <c r="JJK12" s="5"/>
      <c r="JJM12" s="6"/>
      <c r="JJN12" s="5"/>
      <c r="JJR12" s="5"/>
      <c r="JJS12" s="5"/>
      <c r="JJU12" s="6"/>
      <c r="JJV12" s="5"/>
      <c r="JJZ12" s="5"/>
      <c r="JKA12" s="5"/>
      <c r="JKC12" s="6"/>
      <c r="JKD12" s="5"/>
      <c r="JKH12" s="5"/>
      <c r="JKI12" s="5"/>
      <c r="JKK12" s="6"/>
      <c r="JKL12" s="5"/>
      <c r="JKP12" s="5"/>
      <c r="JKQ12" s="5"/>
      <c r="JKS12" s="6"/>
      <c r="JKT12" s="5"/>
      <c r="JKX12" s="5"/>
      <c r="JKY12" s="5"/>
      <c r="JLA12" s="6"/>
      <c r="JLB12" s="5"/>
      <c r="JLF12" s="5"/>
      <c r="JLG12" s="5"/>
      <c r="JLI12" s="6"/>
      <c r="JLJ12" s="5"/>
      <c r="JLN12" s="5"/>
      <c r="JLO12" s="5"/>
      <c r="JLQ12" s="6"/>
      <c r="JLR12" s="5"/>
      <c r="JLV12" s="5"/>
      <c r="JLW12" s="5"/>
      <c r="JLY12" s="6"/>
      <c r="JLZ12" s="5"/>
      <c r="JMD12" s="5"/>
      <c r="JME12" s="5"/>
      <c r="JMG12" s="6"/>
      <c r="JMH12" s="5"/>
      <c r="JML12" s="5"/>
      <c r="JMM12" s="5"/>
      <c r="JMO12" s="6"/>
      <c r="JMP12" s="5"/>
      <c r="JMT12" s="5"/>
      <c r="JMU12" s="5"/>
      <c r="JMW12" s="6"/>
      <c r="JMX12" s="5"/>
      <c r="JNB12" s="5"/>
      <c r="JNC12" s="5"/>
      <c r="JNE12" s="6"/>
      <c r="JNF12" s="5"/>
      <c r="JNJ12" s="5"/>
      <c r="JNK12" s="5"/>
      <c r="JNM12" s="6"/>
      <c r="JNN12" s="5"/>
      <c r="JNR12" s="5"/>
      <c r="JNS12" s="5"/>
      <c r="JNU12" s="6"/>
      <c r="JNV12" s="5"/>
      <c r="JNZ12" s="5"/>
      <c r="JOA12" s="5"/>
      <c r="JOC12" s="6"/>
      <c r="JOD12" s="5"/>
      <c r="JOH12" s="5"/>
      <c r="JOI12" s="5"/>
      <c r="JOK12" s="6"/>
      <c r="JOL12" s="5"/>
      <c r="JOP12" s="5"/>
      <c r="JOQ12" s="5"/>
      <c r="JOS12" s="6"/>
      <c r="JOT12" s="5"/>
      <c r="JOX12" s="5"/>
      <c r="JOY12" s="5"/>
      <c r="JPA12" s="6"/>
      <c r="JPB12" s="5"/>
      <c r="JPF12" s="5"/>
      <c r="JPG12" s="5"/>
      <c r="JPI12" s="6"/>
      <c r="JPJ12" s="5"/>
      <c r="JPN12" s="5"/>
      <c r="JPO12" s="5"/>
      <c r="JPQ12" s="6"/>
      <c r="JPR12" s="5"/>
      <c r="JPV12" s="5"/>
      <c r="JPW12" s="5"/>
      <c r="JPY12" s="6"/>
      <c r="JPZ12" s="5"/>
      <c r="JQD12" s="5"/>
      <c r="JQE12" s="5"/>
      <c r="JQG12" s="6"/>
      <c r="JQH12" s="5"/>
      <c r="JQL12" s="5"/>
      <c r="JQM12" s="5"/>
      <c r="JQO12" s="6"/>
      <c r="JQP12" s="5"/>
      <c r="JQT12" s="5"/>
      <c r="JQU12" s="5"/>
      <c r="JQW12" s="6"/>
      <c r="JQX12" s="5"/>
      <c r="JRB12" s="5"/>
      <c r="JRC12" s="5"/>
      <c r="JRE12" s="6"/>
      <c r="JRF12" s="5"/>
      <c r="JRJ12" s="5"/>
      <c r="JRK12" s="5"/>
      <c r="JRM12" s="6"/>
      <c r="JRN12" s="5"/>
      <c r="JRR12" s="5"/>
      <c r="JRS12" s="5"/>
      <c r="JRU12" s="6"/>
      <c r="JRV12" s="5"/>
      <c r="JRZ12" s="5"/>
      <c r="JSA12" s="5"/>
      <c r="JSC12" s="6"/>
      <c r="JSD12" s="5"/>
      <c r="JSH12" s="5"/>
      <c r="JSI12" s="5"/>
      <c r="JSK12" s="6"/>
      <c r="JSL12" s="5"/>
      <c r="JSP12" s="5"/>
      <c r="JSQ12" s="5"/>
      <c r="JSS12" s="6"/>
      <c r="JST12" s="5"/>
      <c r="JSX12" s="5"/>
      <c r="JSY12" s="5"/>
      <c r="JTA12" s="6"/>
      <c r="JTB12" s="5"/>
      <c r="JTF12" s="5"/>
      <c r="JTG12" s="5"/>
      <c r="JTI12" s="6"/>
      <c r="JTJ12" s="5"/>
      <c r="JTN12" s="5"/>
      <c r="JTO12" s="5"/>
      <c r="JTQ12" s="6"/>
      <c r="JTR12" s="5"/>
      <c r="JTV12" s="5"/>
      <c r="JTW12" s="5"/>
      <c r="JTY12" s="6"/>
      <c r="JTZ12" s="5"/>
      <c r="JUD12" s="5"/>
      <c r="JUE12" s="5"/>
      <c r="JUG12" s="6"/>
      <c r="JUH12" s="5"/>
      <c r="JUL12" s="5"/>
      <c r="JUM12" s="5"/>
      <c r="JUO12" s="6"/>
      <c r="JUP12" s="5"/>
      <c r="JUT12" s="5"/>
      <c r="JUU12" s="5"/>
      <c r="JUW12" s="6"/>
      <c r="JUX12" s="5"/>
      <c r="JVB12" s="5"/>
      <c r="JVC12" s="5"/>
      <c r="JVE12" s="6"/>
      <c r="JVF12" s="5"/>
      <c r="JVJ12" s="5"/>
      <c r="JVK12" s="5"/>
      <c r="JVM12" s="6"/>
      <c r="JVN12" s="5"/>
      <c r="JVR12" s="5"/>
      <c r="JVS12" s="5"/>
      <c r="JVU12" s="6"/>
      <c r="JVV12" s="5"/>
      <c r="JVZ12" s="5"/>
      <c r="JWA12" s="5"/>
      <c r="JWC12" s="6"/>
      <c r="JWD12" s="5"/>
      <c r="JWH12" s="5"/>
      <c r="JWI12" s="5"/>
      <c r="JWK12" s="6"/>
      <c r="JWL12" s="5"/>
      <c r="JWP12" s="5"/>
      <c r="JWQ12" s="5"/>
      <c r="JWS12" s="6"/>
      <c r="JWT12" s="5"/>
      <c r="JWX12" s="5"/>
      <c r="JWY12" s="5"/>
      <c r="JXA12" s="6"/>
      <c r="JXB12" s="5"/>
      <c r="JXF12" s="5"/>
      <c r="JXG12" s="5"/>
      <c r="JXI12" s="6"/>
      <c r="JXJ12" s="5"/>
      <c r="JXN12" s="5"/>
      <c r="JXO12" s="5"/>
      <c r="JXQ12" s="6"/>
      <c r="JXR12" s="5"/>
      <c r="JXV12" s="5"/>
      <c r="JXW12" s="5"/>
      <c r="JXY12" s="6"/>
      <c r="JXZ12" s="5"/>
      <c r="JYD12" s="5"/>
      <c r="JYE12" s="5"/>
      <c r="JYG12" s="6"/>
      <c r="JYH12" s="5"/>
      <c r="JYL12" s="5"/>
      <c r="JYM12" s="5"/>
      <c r="JYO12" s="6"/>
      <c r="JYP12" s="5"/>
      <c r="JYT12" s="5"/>
      <c r="JYU12" s="5"/>
      <c r="JYW12" s="6"/>
      <c r="JYX12" s="5"/>
      <c r="JZB12" s="5"/>
      <c r="JZC12" s="5"/>
      <c r="JZE12" s="6"/>
      <c r="JZF12" s="5"/>
      <c r="JZJ12" s="5"/>
      <c r="JZK12" s="5"/>
      <c r="JZM12" s="6"/>
      <c r="JZN12" s="5"/>
      <c r="JZR12" s="5"/>
      <c r="JZS12" s="5"/>
      <c r="JZU12" s="6"/>
      <c r="JZV12" s="5"/>
      <c r="JZZ12" s="5"/>
      <c r="KAA12" s="5"/>
      <c r="KAC12" s="6"/>
      <c r="KAD12" s="5"/>
      <c r="KAH12" s="5"/>
      <c r="KAI12" s="5"/>
      <c r="KAK12" s="6"/>
      <c r="KAL12" s="5"/>
      <c r="KAP12" s="5"/>
      <c r="KAQ12" s="5"/>
      <c r="KAS12" s="6"/>
      <c r="KAT12" s="5"/>
      <c r="KAX12" s="5"/>
      <c r="KAY12" s="5"/>
      <c r="KBA12" s="6"/>
      <c r="KBB12" s="5"/>
      <c r="KBF12" s="5"/>
      <c r="KBG12" s="5"/>
      <c r="KBI12" s="6"/>
      <c r="KBJ12" s="5"/>
      <c r="KBN12" s="5"/>
      <c r="KBO12" s="5"/>
      <c r="KBQ12" s="6"/>
      <c r="KBR12" s="5"/>
      <c r="KBV12" s="5"/>
      <c r="KBW12" s="5"/>
      <c r="KBY12" s="6"/>
      <c r="KBZ12" s="5"/>
      <c r="KCD12" s="5"/>
      <c r="KCE12" s="5"/>
      <c r="KCG12" s="6"/>
      <c r="KCH12" s="5"/>
      <c r="KCL12" s="5"/>
      <c r="KCM12" s="5"/>
      <c r="KCO12" s="6"/>
      <c r="KCP12" s="5"/>
      <c r="KCT12" s="5"/>
      <c r="KCU12" s="5"/>
      <c r="KCW12" s="6"/>
      <c r="KCX12" s="5"/>
      <c r="KDB12" s="5"/>
      <c r="KDC12" s="5"/>
      <c r="KDE12" s="6"/>
      <c r="KDF12" s="5"/>
      <c r="KDJ12" s="5"/>
      <c r="KDK12" s="5"/>
      <c r="KDM12" s="6"/>
      <c r="KDN12" s="5"/>
      <c r="KDR12" s="5"/>
      <c r="KDS12" s="5"/>
      <c r="KDU12" s="6"/>
      <c r="KDV12" s="5"/>
      <c r="KDZ12" s="5"/>
      <c r="KEA12" s="5"/>
      <c r="KEC12" s="6"/>
      <c r="KED12" s="5"/>
      <c r="KEH12" s="5"/>
      <c r="KEI12" s="5"/>
      <c r="KEK12" s="6"/>
      <c r="KEL12" s="5"/>
      <c r="KEP12" s="5"/>
      <c r="KEQ12" s="5"/>
      <c r="KES12" s="6"/>
      <c r="KET12" s="5"/>
      <c r="KEX12" s="5"/>
      <c r="KEY12" s="5"/>
      <c r="KFA12" s="6"/>
      <c r="KFB12" s="5"/>
      <c r="KFF12" s="5"/>
      <c r="KFG12" s="5"/>
      <c r="KFI12" s="6"/>
      <c r="KFJ12" s="5"/>
      <c r="KFN12" s="5"/>
      <c r="KFO12" s="5"/>
      <c r="KFQ12" s="6"/>
      <c r="KFR12" s="5"/>
      <c r="KFV12" s="5"/>
      <c r="KFW12" s="5"/>
      <c r="KFY12" s="6"/>
      <c r="KFZ12" s="5"/>
      <c r="KGD12" s="5"/>
      <c r="KGE12" s="5"/>
      <c r="KGG12" s="6"/>
      <c r="KGH12" s="5"/>
      <c r="KGL12" s="5"/>
      <c r="KGM12" s="5"/>
      <c r="KGO12" s="6"/>
      <c r="KGP12" s="5"/>
      <c r="KGT12" s="5"/>
      <c r="KGU12" s="5"/>
      <c r="KGW12" s="6"/>
      <c r="KGX12" s="5"/>
      <c r="KHB12" s="5"/>
      <c r="KHC12" s="5"/>
      <c r="KHE12" s="6"/>
      <c r="KHF12" s="5"/>
      <c r="KHJ12" s="5"/>
      <c r="KHK12" s="5"/>
      <c r="KHM12" s="6"/>
      <c r="KHN12" s="5"/>
      <c r="KHR12" s="5"/>
      <c r="KHS12" s="5"/>
      <c r="KHU12" s="6"/>
      <c r="KHV12" s="5"/>
      <c r="KHZ12" s="5"/>
      <c r="KIA12" s="5"/>
      <c r="KIC12" s="6"/>
      <c r="KID12" s="5"/>
      <c r="KIH12" s="5"/>
      <c r="KII12" s="5"/>
      <c r="KIK12" s="6"/>
      <c r="KIL12" s="5"/>
      <c r="KIP12" s="5"/>
      <c r="KIQ12" s="5"/>
      <c r="KIS12" s="6"/>
      <c r="KIT12" s="5"/>
      <c r="KIX12" s="5"/>
      <c r="KIY12" s="5"/>
      <c r="KJA12" s="6"/>
      <c r="KJB12" s="5"/>
      <c r="KJF12" s="5"/>
      <c r="KJG12" s="5"/>
      <c r="KJI12" s="6"/>
      <c r="KJJ12" s="5"/>
      <c r="KJN12" s="5"/>
      <c r="KJO12" s="5"/>
      <c r="KJQ12" s="6"/>
      <c r="KJR12" s="5"/>
      <c r="KJV12" s="5"/>
      <c r="KJW12" s="5"/>
      <c r="KJY12" s="6"/>
      <c r="KJZ12" s="5"/>
      <c r="KKD12" s="5"/>
      <c r="KKE12" s="5"/>
      <c r="KKG12" s="6"/>
      <c r="KKH12" s="5"/>
      <c r="KKL12" s="5"/>
      <c r="KKM12" s="5"/>
      <c r="KKO12" s="6"/>
      <c r="KKP12" s="5"/>
      <c r="KKT12" s="5"/>
      <c r="KKU12" s="5"/>
      <c r="KKW12" s="6"/>
      <c r="KKX12" s="5"/>
      <c r="KLB12" s="5"/>
      <c r="KLC12" s="5"/>
      <c r="KLE12" s="6"/>
      <c r="KLF12" s="5"/>
      <c r="KLJ12" s="5"/>
      <c r="KLK12" s="5"/>
      <c r="KLM12" s="6"/>
      <c r="KLN12" s="5"/>
      <c r="KLR12" s="5"/>
      <c r="KLS12" s="5"/>
      <c r="KLU12" s="6"/>
      <c r="KLV12" s="5"/>
      <c r="KLZ12" s="5"/>
      <c r="KMA12" s="5"/>
      <c r="KMC12" s="6"/>
      <c r="KMD12" s="5"/>
      <c r="KMH12" s="5"/>
      <c r="KMI12" s="5"/>
      <c r="KMK12" s="6"/>
      <c r="KML12" s="5"/>
      <c r="KMP12" s="5"/>
      <c r="KMQ12" s="5"/>
      <c r="KMS12" s="6"/>
      <c r="KMT12" s="5"/>
      <c r="KMX12" s="5"/>
      <c r="KMY12" s="5"/>
      <c r="KNA12" s="6"/>
      <c r="KNB12" s="5"/>
      <c r="KNF12" s="5"/>
      <c r="KNG12" s="5"/>
      <c r="KNI12" s="6"/>
      <c r="KNJ12" s="5"/>
      <c r="KNN12" s="5"/>
      <c r="KNO12" s="5"/>
      <c r="KNQ12" s="6"/>
      <c r="KNR12" s="5"/>
      <c r="KNV12" s="5"/>
      <c r="KNW12" s="5"/>
      <c r="KNY12" s="6"/>
      <c r="KNZ12" s="5"/>
      <c r="KOD12" s="5"/>
      <c r="KOE12" s="5"/>
      <c r="KOG12" s="6"/>
      <c r="KOH12" s="5"/>
      <c r="KOL12" s="5"/>
      <c r="KOM12" s="5"/>
      <c r="KOO12" s="6"/>
      <c r="KOP12" s="5"/>
      <c r="KOT12" s="5"/>
      <c r="KOU12" s="5"/>
      <c r="KOW12" s="6"/>
      <c r="KOX12" s="5"/>
      <c r="KPB12" s="5"/>
      <c r="KPC12" s="5"/>
      <c r="KPE12" s="6"/>
      <c r="KPF12" s="5"/>
      <c r="KPJ12" s="5"/>
      <c r="KPK12" s="5"/>
      <c r="KPM12" s="6"/>
      <c r="KPN12" s="5"/>
      <c r="KPR12" s="5"/>
      <c r="KPS12" s="5"/>
      <c r="KPU12" s="6"/>
      <c r="KPV12" s="5"/>
      <c r="KPZ12" s="5"/>
      <c r="KQA12" s="5"/>
      <c r="KQC12" s="6"/>
      <c r="KQD12" s="5"/>
      <c r="KQH12" s="5"/>
      <c r="KQI12" s="5"/>
      <c r="KQK12" s="6"/>
      <c r="KQL12" s="5"/>
      <c r="KQP12" s="5"/>
      <c r="KQQ12" s="5"/>
      <c r="KQS12" s="6"/>
      <c r="KQT12" s="5"/>
      <c r="KQX12" s="5"/>
      <c r="KQY12" s="5"/>
      <c r="KRA12" s="6"/>
      <c r="KRB12" s="5"/>
      <c r="KRF12" s="5"/>
      <c r="KRG12" s="5"/>
      <c r="KRI12" s="6"/>
      <c r="KRJ12" s="5"/>
      <c r="KRN12" s="5"/>
      <c r="KRO12" s="5"/>
      <c r="KRQ12" s="6"/>
      <c r="KRR12" s="5"/>
      <c r="KRV12" s="5"/>
      <c r="KRW12" s="5"/>
      <c r="KRY12" s="6"/>
      <c r="KRZ12" s="5"/>
      <c r="KSD12" s="5"/>
      <c r="KSE12" s="5"/>
      <c r="KSG12" s="6"/>
      <c r="KSH12" s="5"/>
      <c r="KSL12" s="5"/>
      <c r="KSM12" s="5"/>
      <c r="KSO12" s="6"/>
      <c r="KSP12" s="5"/>
      <c r="KST12" s="5"/>
      <c r="KSU12" s="5"/>
      <c r="KSW12" s="6"/>
      <c r="KSX12" s="5"/>
      <c r="KTB12" s="5"/>
      <c r="KTC12" s="5"/>
      <c r="KTE12" s="6"/>
      <c r="KTF12" s="5"/>
      <c r="KTJ12" s="5"/>
      <c r="KTK12" s="5"/>
      <c r="KTM12" s="6"/>
      <c r="KTN12" s="5"/>
      <c r="KTR12" s="5"/>
      <c r="KTS12" s="5"/>
      <c r="KTU12" s="6"/>
      <c r="KTV12" s="5"/>
      <c r="KTZ12" s="5"/>
      <c r="KUA12" s="5"/>
      <c r="KUC12" s="6"/>
      <c r="KUD12" s="5"/>
      <c r="KUH12" s="5"/>
      <c r="KUI12" s="5"/>
      <c r="KUK12" s="6"/>
      <c r="KUL12" s="5"/>
      <c r="KUP12" s="5"/>
      <c r="KUQ12" s="5"/>
      <c r="KUS12" s="6"/>
      <c r="KUT12" s="5"/>
      <c r="KUX12" s="5"/>
      <c r="KUY12" s="5"/>
      <c r="KVA12" s="6"/>
      <c r="KVB12" s="5"/>
      <c r="KVF12" s="5"/>
      <c r="KVG12" s="5"/>
      <c r="KVI12" s="6"/>
      <c r="KVJ12" s="5"/>
      <c r="KVN12" s="5"/>
      <c r="KVO12" s="5"/>
      <c r="KVQ12" s="6"/>
      <c r="KVR12" s="5"/>
      <c r="KVV12" s="5"/>
      <c r="KVW12" s="5"/>
      <c r="KVY12" s="6"/>
      <c r="KVZ12" s="5"/>
      <c r="KWD12" s="5"/>
      <c r="KWE12" s="5"/>
      <c r="KWG12" s="6"/>
      <c r="KWH12" s="5"/>
      <c r="KWL12" s="5"/>
      <c r="KWM12" s="5"/>
      <c r="KWO12" s="6"/>
      <c r="KWP12" s="5"/>
      <c r="KWT12" s="5"/>
      <c r="KWU12" s="5"/>
      <c r="KWW12" s="6"/>
      <c r="KWX12" s="5"/>
      <c r="KXB12" s="5"/>
      <c r="KXC12" s="5"/>
      <c r="KXE12" s="6"/>
      <c r="KXF12" s="5"/>
      <c r="KXJ12" s="5"/>
      <c r="KXK12" s="5"/>
      <c r="KXM12" s="6"/>
      <c r="KXN12" s="5"/>
      <c r="KXR12" s="5"/>
      <c r="KXS12" s="5"/>
      <c r="KXU12" s="6"/>
      <c r="KXV12" s="5"/>
      <c r="KXZ12" s="5"/>
      <c r="KYA12" s="5"/>
      <c r="KYC12" s="6"/>
      <c r="KYD12" s="5"/>
      <c r="KYH12" s="5"/>
      <c r="KYI12" s="5"/>
      <c r="KYK12" s="6"/>
      <c r="KYL12" s="5"/>
      <c r="KYP12" s="5"/>
      <c r="KYQ12" s="5"/>
      <c r="KYS12" s="6"/>
      <c r="KYT12" s="5"/>
      <c r="KYX12" s="5"/>
      <c r="KYY12" s="5"/>
      <c r="KZA12" s="6"/>
      <c r="KZB12" s="5"/>
      <c r="KZF12" s="5"/>
      <c r="KZG12" s="5"/>
      <c r="KZI12" s="6"/>
      <c r="KZJ12" s="5"/>
      <c r="KZN12" s="5"/>
      <c r="KZO12" s="5"/>
      <c r="KZQ12" s="6"/>
      <c r="KZR12" s="5"/>
      <c r="KZV12" s="5"/>
      <c r="KZW12" s="5"/>
      <c r="KZY12" s="6"/>
      <c r="KZZ12" s="5"/>
      <c r="LAD12" s="5"/>
      <c r="LAE12" s="5"/>
      <c r="LAG12" s="6"/>
      <c r="LAH12" s="5"/>
      <c r="LAL12" s="5"/>
      <c r="LAM12" s="5"/>
      <c r="LAO12" s="6"/>
      <c r="LAP12" s="5"/>
      <c r="LAT12" s="5"/>
      <c r="LAU12" s="5"/>
      <c r="LAW12" s="6"/>
      <c r="LAX12" s="5"/>
      <c r="LBB12" s="5"/>
      <c r="LBC12" s="5"/>
      <c r="LBE12" s="6"/>
      <c r="LBF12" s="5"/>
      <c r="LBJ12" s="5"/>
      <c r="LBK12" s="5"/>
      <c r="LBM12" s="6"/>
      <c r="LBN12" s="5"/>
      <c r="LBR12" s="5"/>
      <c r="LBS12" s="5"/>
      <c r="LBU12" s="6"/>
      <c r="LBV12" s="5"/>
      <c r="LBZ12" s="5"/>
      <c r="LCA12" s="5"/>
      <c r="LCC12" s="6"/>
      <c r="LCD12" s="5"/>
      <c r="LCH12" s="5"/>
      <c r="LCI12" s="5"/>
      <c r="LCK12" s="6"/>
      <c r="LCL12" s="5"/>
      <c r="LCP12" s="5"/>
      <c r="LCQ12" s="5"/>
      <c r="LCS12" s="6"/>
      <c r="LCT12" s="5"/>
      <c r="LCX12" s="5"/>
      <c r="LCY12" s="5"/>
      <c r="LDA12" s="6"/>
      <c r="LDB12" s="5"/>
      <c r="LDF12" s="5"/>
      <c r="LDG12" s="5"/>
      <c r="LDI12" s="6"/>
      <c r="LDJ12" s="5"/>
      <c r="LDN12" s="5"/>
      <c r="LDO12" s="5"/>
      <c r="LDQ12" s="6"/>
      <c r="LDR12" s="5"/>
      <c r="LDV12" s="5"/>
      <c r="LDW12" s="5"/>
      <c r="LDY12" s="6"/>
      <c r="LDZ12" s="5"/>
      <c r="LED12" s="5"/>
      <c r="LEE12" s="5"/>
      <c r="LEG12" s="6"/>
      <c r="LEH12" s="5"/>
      <c r="LEL12" s="5"/>
      <c r="LEM12" s="5"/>
      <c r="LEO12" s="6"/>
      <c r="LEP12" s="5"/>
      <c r="LET12" s="5"/>
      <c r="LEU12" s="5"/>
      <c r="LEW12" s="6"/>
      <c r="LEX12" s="5"/>
      <c r="LFB12" s="5"/>
      <c r="LFC12" s="5"/>
      <c r="LFE12" s="6"/>
      <c r="LFF12" s="5"/>
      <c r="LFJ12" s="5"/>
      <c r="LFK12" s="5"/>
      <c r="LFM12" s="6"/>
      <c r="LFN12" s="5"/>
      <c r="LFR12" s="5"/>
      <c r="LFS12" s="5"/>
      <c r="LFU12" s="6"/>
      <c r="LFV12" s="5"/>
      <c r="LFZ12" s="5"/>
      <c r="LGA12" s="5"/>
      <c r="LGC12" s="6"/>
      <c r="LGD12" s="5"/>
      <c r="LGH12" s="5"/>
      <c r="LGI12" s="5"/>
      <c r="LGK12" s="6"/>
      <c r="LGL12" s="5"/>
      <c r="LGP12" s="5"/>
      <c r="LGQ12" s="5"/>
      <c r="LGS12" s="6"/>
      <c r="LGT12" s="5"/>
      <c r="LGX12" s="5"/>
      <c r="LGY12" s="5"/>
      <c r="LHA12" s="6"/>
      <c r="LHB12" s="5"/>
      <c r="LHF12" s="5"/>
      <c r="LHG12" s="5"/>
      <c r="LHI12" s="6"/>
      <c r="LHJ12" s="5"/>
      <c r="LHN12" s="5"/>
      <c r="LHO12" s="5"/>
      <c r="LHQ12" s="6"/>
      <c r="LHR12" s="5"/>
      <c r="LHV12" s="5"/>
      <c r="LHW12" s="5"/>
      <c r="LHY12" s="6"/>
      <c r="LHZ12" s="5"/>
      <c r="LID12" s="5"/>
      <c r="LIE12" s="5"/>
      <c r="LIG12" s="6"/>
      <c r="LIH12" s="5"/>
      <c r="LIL12" s="5"/>
      <c r="LIM12" s="5"/>
      <c r="LIO12" s="6"/>
      <c r="LIP12" s="5"/>
      <c r="LIT12" s="5"/>
      <c r="LIU12" s="5"/>
      <c r="LIW12" s="6"/>
      <c r="LIX12" s="5"/>
      <c r="LJB12" s="5"/>
      <c r="LJC12" s="5"/>
      <c r="LJE12" s="6"/>
      <c r="LJF12" s="5"/>
      <c r="LJJ12" s="5"/>
      <c r="LJK12" s="5"/>
      <c r="LJM12" s="6"/>
      <c r="LJN12" s="5"/>
      <c r="LJR12" s="5"/>
      <c r="LJS12" s="5"/>
      <c r="LJU12" s="6"/>
      <c r="LJV12" s="5"/>
      <c r="LJZ12" s="5"/>
      <c r="LKA12" s="5"/>
      <c r="LKC12" s="6"/>
      <c r="LKD12" s="5"/>
      <c r="LKH12" s="5"/>
      <c r="LKI12" s="5"/>
      <c r="LKK12" s="6"/>
      <c r="LKL12" s="5"/>
      <c r="LKP12" s="5"/>
      <c r="LKQ12" s="5"/>
      <c r="LKS12" s="6"/>
      <c r="LKT12" s="5"/>
      <c r="LKX12" s="5"/>
      <c r="LKY12" s="5"/>
      <c r="LLA12" s="6"/>
      <c r="LLB12" s="5"/>
      <c r="LLF12" s="5"/>
      <c r="LLG12" s="5"/>
      <c r="LLI12" s="6"/>
      <c r="LLJ12" s="5"/>
      <c r="LLN12" s="5"/>
      <c r="LLO12" s="5"/>
      <c r="LLQ12" s="6"/>
      <c r="LLR12" s="5"/>
      <c r="LLV12" s="5"/>
      <c r="LLW12" s="5"/>
      <c r="LLY12" s="6"/>
      <c r="LLZ12" s="5"/>
      <c r="LMD12" s="5"/>
      <c r="LME12" s="5"/>
      <c r="LMG12" s="6"/>
      <c r="LMH12" s="5"/>
      <c r="LML12" s="5"/>
      <c r="LMM12" s="5"/>
      <c r="LMO12" s="6"/>
      <c r="LMP12" s="5"/>
      <c r="LMT12" s="5"/>
      <c r="LMU12" s="5"/>
      <c r="LMW12" s="6"/>
      <c r="LMX12" s="5"/>
      <c r="LNB12" s="5"/>
      <c r="LNC12" s="5"/>
      <c r="LNE12" s="6"/>
      <c r="LNF12" s="5"/>
      <c r="LNJ12" s="5"/>
      <c r="LNK12" s="5"/>
      <c r="LNM12" s="6"/>
      <c r="LNN12" s="5"/>
      <c r="LNR12" s="5"/>
      <c r="LNS12" s="5"/>
      <c r="LNU12" s="6"/>
      <c r="LNV12" s="5"/>
      <c r="LNZ12" s="5"/>
      <c r="LOA12" s="5"/>
      <c r="LOC12" s="6"/>
      <c r="LOD12" s="5"/>
      <c r="LOH12" s="5"/>
      <c r="LOI12" s="5"/>
      <c r="LOK12" s="6"/>
      <c r="LOL12" s="5"/>
      <c r="LOP12" s="5"/>
      <c r="LOQ12" s="5"/>
      <c r="LOS12" s="6"/>
      <c r="LOT12" s="5"/>
      <c r="LOX12" s="5"/>
      <c r="LOY12" s="5"/>
      <c r="LPA12" s="6"/>
      <c r="LPB12" s="5"/>
      <c r="LPF12" s="5"/>
      <c r="LPG12" s="5"/>
      <c r="LPI12" s="6"/>
      <c r="LPJ12" s="5"/>
      <c r="LPN12" s="5"/>
      <c r="LPO12" s="5"/>
      <c r="LPQ12" s="6"/>
      <c r="LPR12" s="5"/>
      <c r="LPV12" s="5"/>
      <c r="LPW12" s="5"/>
      <c r="LPY12" s="6"/>
      <c r="LPZ12" s="5"/>
      <c r="LQD12" s="5"/>
      <c r="LQE12" s="5"/>
      <c r="LQG12" s="6"/>
      <c r="LQH12" s="5"/>
      <c r="LQL12" s="5"/>
      <c r="LQM12" s="5"/>
      <c r="LQO12" s="6"/>
      <c r="LQP12" s="5"/>
      <c r="LQT12" s="5"/>
      <c r="LQU12" s="5"/>
      <c r="LQW12" s="6"/>
      <c r="LQX12" s="5"/>
      <c r="LRB12" s="5"/>
      <c r="LRC12" s="5"/>
      <c r="LRE12" s="6"/>
      <c r="LRF12" s="5"/>
      <c r="LRJ12" s="5"/>
      <c r="LRK12" s="5"/>
      <c r="LRM12" s="6"/>
      <c r="LRN12" s="5"/>
      <c r="LRR12" s="5"/>
      <c r="LRS12" s="5"/>
      <c r="LRU12" s="6"/>
      <c r="LRV12" s="5"/>
      <c r="LRZ12" s="5"/>
      <c r="LSA12" s="5"/>
      <c r="LSC12" s="6"/>
      <c r="LSD12" s="5"/>
      <c r="LSH12" s="5"/>
      <c r="LSI12" s="5"/>
      <c r="LSK12" s="6"/>
      <c r="LSL12" s="5"/>
      <c r="LSP12" s="5"/>
      <c r="LSQ12" s="5"/>
      <c r="LSS12" s="6"/>
      <c r="LST12" s="5"/>
      <c r="LSX12" s="5"/>
      <c r="LSY12" s="5"/>
      <c r="LTA12" s="6"/>
      <c r="LTB12" s="5"/>
      <c r="LTF12" s="5"/>
      <c r="LTG12" s="5"/>
      <c r="LTI12" s="6"/>
      <c r="LTJ12" s="5"/>
      <c r="LTN12" s="5"/>
      <c r="LTO12" s="5"/>
      <c r="LTQ12" s="6"/>
      <c r="LTR12" s="5"/>
      <c r="LTV12" s="5"/>
      <c r="LTW12" s="5"/>
      <c r="LTY12" s="6"/>
      <c r="LTZ12" s="5"/>
      <c r="LUD12" s="5"/>
      <c r="LUE12" s="5"/>
      <c r="LUG12" s="6"/>
      <c r="LUH12" s="5"/>
      <c r="LUL12" s="5"/>
      <c r="LUM12" s="5"/>
      <c r="LUO12" s="6"/>
      <c r="LUP12" s="5"/>
      <c r="LUT12" s="5"/>
      <c r="LUU12" s="5"/>
      <c r="LUW12" s="6"/>
      <c r="LUX12" s="5"/>
      <c r="LVB12" s="5"/>
      <c r="LVC12" s="5"/>
      <c r="LVE12" s="6"/>
      <c r="LVF12" s="5"/>
      <c r="LVJ12" s="5"/>
      <c r="LVK12" s="5"/>
      <c r="LVM12" s="6"/>
      <c r="LVN12" s="5"/>
      <c r="LVR12" s="5"/>
      <c r="LVS12" s="5"/>
      <c r="LVU12" s="6"/>
      <c r="LVV12" s="5"/>
      <c r="LVZ12" s="5"/>
      <c r="LWA12" s="5"/>
      <c r="LWC12" s="6"/>
      <c r="LWD12" s="5"/>
      <c r="LWH12" s="5"/>
      <c r="LWI12" s="5"/>
      <c r="LWK12" s="6"/>
      <c r="LWL12" s="5"/>
      <c r="LWP12" s="5"/>
      <c r="LWQ12" s="5"/>
      <c r="LWS12" s="6"/>
      <c r="LWT12" s="5"/>
      <c r="LWX12" s="5"/>
      <c r="LWY12" s="5"/>
      <c r="LXA12" s="6"/>
      <c r="LXB12" s="5"/>
      <c r="LXF12" s="5"/>
      <c r="LXG12" s="5"/>
      <c r="LXI12" s="6"/>
      <c r="LXJ12" s="5"/>
      <c r="LXN12" s="5"/>
      <c r="LXO12" s="5"/>
      <c r="LXQ12" s="6"/>
      <c r="LXR12" s="5"/>
      <c r="LXV12" s="5"/>
      <c r="LXW12" s="5"/>
      <c r="LXY12" s="6"/>
      <c r="LXZ12" s="5"/>
      <c r="LYD12" s="5"/>
      <c r="LYE12" s="5"/>
      <c r="LYG12" s="6"/>
      <c r="LYH12" s="5"/>
      <c r="LYL12" s="5"/>
      <c r="LYM12" s="5"/>
      <c r="LYO12" s="6"/>
      <c r="LYP12" s="5"/>
      <c r="LYT12" s="5"/>
      <c r="LYU12" s="5"/>
      <c r="LYW12" s="6"/>
      <c r="LYX12" s="5"/>
      <c r="LZB12" s="5"/>
      <c r="LZC12" s="5"/>
      <c r="LZE12" s="6"/>
      <c r="LZF12" s="5"/>
      <c r="LZJ12" s="5"/>
      <c r="LZK12" s="5"/>
      <c r="LZM12" s="6"/>
      <c r="LZN12" s="5"/>
      <c r="LZR12" s="5"/>
      <c r="LZS12" s="5"/>
      <c r="LZU12" s="6"/>
      <c r="LZV12" s="5"/>
      <c r="LZZ12" s="5"/>
      <c r="MAA12" s="5"/>
      <c r="MAC12" s="6"/>
      <c r="MAD12" s="5"/>
      <c r="MAH12" s="5"/>
      <c r="MAI12" s="5"/>
      <c r="MAK12" s="6"/>
      <c r="MAL12" s="5"/>
      <c r="MAP12" s="5"/>
      <c r="MAQ12" s="5"/>
      <c r="MAS12" s="6"/>
      <c r="MAT12" s="5"/>
      <c r="MAX12" s="5"/>
      <c r="MAY12" s="5"/>
      <c r="MBA12" s="6"/>
      <c r="MBB12" s="5"/>
      <c r="MBF12" s="5"/>
      <c r="MBG12" s="5"/>
      <c r="MBI12" s="6"/>
      <c r="MBJ12" s="5"/>
      <c r="MBN12" s="5"/>
      <c r="MBO12" s="5"/>
      <c r="MBQ12" s="6"/>
      <c r="MBR12" s="5"/>
      <c r="MBV12" s="5"/>
      <c r="MBW12" s="5"/>
      <c r="MBY12" s="6"/>
      <c r="MBZ12" s="5"/>
      <c r="MCD12" s="5"/>
      <c r="MCE12" s="5"/>
      <c r="MCG12" s="6"/>
      <c r="MCH12" s="5"/>
      <c r="MCL12" s="5"/>
      <c r="MCM12" s="5"/>
      <c r="MCO12" s="6"/>
      <c r="MCP12" s="5"/>
      <c r="MCT12" s="5"/>
      <c r="MCU12" s="5"/>
      <c r="MCW12" s="6"/>
      <c r="MCX12" s="5"/>
      <c r="MDB12" s="5"/>
      <c r="MDC12" s="5"/>
      <c r="MDE12" s="6"/>
      <c r="MDF12" s="5"/>
      <c r="MDJ12" s="5"/>
      <c r="MDK12" s="5"/>
      <c r="MDM12" s="6"/>
      <c r="MDN12" s="5"/>
      <c r="MDR12" s="5"/>
      <c r="MDS12" s="5"/>
      <c r="MDU12" s="6"/>
      <c r="MDV12" s="5"/>
      <c r="MDZ12" s="5"/>
      <c r="MEA12" s="5"/>
      <c r="MEC12" s="6"/>
      <c r="MED12" s="5"/>
      <c r="MEH12" s="5"/>
      <c r="MEI12" s="5"/>
      <c r="MEK12" s="6"/>
      <c r="MEL12" s="5"/>
      <c r="MEP12" s="5"/>
      <c r="MEQ12" s="5"/>
      <c r="MES12" s="6"/>
      <c r="MET12" s="5"/>
      <c r="MEX12" s="5"/>
      <c r="MEY12" s="5"/>
      <c r="MFA12" s="6"/>
      <c r="MFB12" s="5"/>
      <c r="MFF12" s="5"/>
      <c r="MFG12" s="5"/>
      <c r="MFI12" s="6"/>
      <c r="MFJ12" s="5"/>
      <c r="MFN12" s="5"/>
      <c r="MFO12" s="5"/>
      <c r="MFQ12" s="6"/>
      <c r="MFR12" s="5"/>
      <c r="MFV12" s="5"/>
      <c r="MFW12" s="5"/>
      <c r="MFY12" s="6"/>
      <c r="MFZ12" s="5"/>
      <c r="MGD12" s="5"/>
      <c r="MGE12" s="5"/>
      <c r="MGG12" s="6"/>
      <c r="MGH12" s="5"/>
      <c r="MGL12" s="5"/>
      <c r="MGM12" s="5"/>
      <c r="MGO12" s="6"/>
      <c r="MGP12" s="5"/>
      <c r="MGT12" s="5"/>
      <c r="MGU12" s="5"/>
      <c r="MGW12" s="6"/>
      <c r="MGX12" s="5"/>
      <c r="MHB12" s="5"/>
      <c r="MHC12" s="5"/>
      <c r="MHE12" s="6"/>
      <c r="MHF12" s="5"/>
      <c r="MHJ12" s="5"/>
      <c r="MHK12" s="5"/>
      <c r="MHM12" s="6"/>
      <c r="MHN12" s="5"/>
      <c r="MHR12" s="5"/>
      <c r="MHS12" s="5"/>
      <c r="MHU12" s="6"/>
      <c r="MHV12" s="5"/>
      <c r="MHZ12" s="5"/>
      <c r="MIA12" s="5"/>
      <c r="MIC12" s="6"/>
      <c r="MID12" s="5"/>
      <c r="MIH12" s="5"/>
      <c r="MII12" s="5"/>
      <c r="MIK12" s="6"/>
      <c r="MIL12" s="5"/>
      <c r="MIP12" s="5"/>
      <c r="MIQ12" s="5"/>
      <c r="MIS12" s="6"/>
      <c r="MIT12" s="5"/>
      <c r="MIX12" s="5"/>
      <c r="MIY12" s="5"/>
      <c r="MJA12" s="6"/>
      <c r="MJB12" s="5"/>
      <c r="MJF12" s="5"/>
      <c r="MJG12" s="5"/>
      <c r="MJI12" s="6"/>
      <c r="MJJ12" s="5"/>
      <c r="MJN12" s="5"/>
      <c r="MJO12" s="5"/>
      <c r="MJQ12" s="6"/>
      <c r="MJR12" s="5"/>
      <c r="MJV12" s="5"/>
      <c r="MJW12" s="5"/>
      <c r="MJY12" s="6"/>
      <c r="MJZ12" s="5"/>
      <c r="MKD12" s="5"/>
      <c r="MKE12" s="5"/>
      <c r="MKG12" s="6"/>
      <c r="MKH12" s="5"/>
      <c r="MKL12" s="5"/>
      <c r="MKM12" s="5"/>
      <c r="MKO12" s="6"/>
      <c r="MKP12" s="5"/>
      <c r="MKT12" s="5"/>
      <c r="MKU12" s="5"/>
      <c r="MKW12" s="6"/>
      <c r="MKX12" s="5"/>
      <c r="MLB12" s="5"/>
      <c r="MLC12" s="5"/>
      <c r="MLE12" s="6"/>
      <c r="MLF12" s="5"/>
      <c r="MLJ12" s="5"/>
      <c r="MLK12" s="5"/>
      <c r="MLM12" s="6"/>
      <c r="MLN12" s="5"/>
      <c r="MLR12" s="5"/>
      <c r="MLS12" s="5"/>
      <c r="MLU12" s="6"/>
      <c r="MLV12" s="5"/>
      <c r="MLZ12" s="5"/>
      <c r="MMA12" s="5"/>
      <c r="MMC12" s="6"/>
      <c r="MMD12" s="5"/>
      <c r="MMH12" s="5"/>
      <c r="MMI12" s="5"/>
      <c r="MMK12" s="6"/>
      <c r="MML12" s="5"/>
      <c r="MMP12" s="5"/>
      <c r="MMQ12" s="5"/>
      <c r="MMS12" s="6"/>
      <c r="MMT12" s="5"/>
      <c r="MMX12" s="5"/>
      <c r="MMY12" s="5"/>
      <c r="MNA12" s="6"/>
      <c r="MNB12" s="5"/>
      <c r="MNF12" s="5"/>
      <c r="MNG12" s="5"/>
      <c r="MNI12" s="6"/>
      <c r="MNJ12" s="5"/>
      <c r="MNN12" s="5"/>
      <c r="MNO12" s="5"/>
      <c r="MNQ12" s="6"/>
      <c r="MNR12" s="5"/>
      <c r="MNV12" s="5"/>
      <c r="MNW12" s="5"/>
      <c r="MNY12" s="6"/>
      <c r="MNZ12" s="5"/>
      <c r="MOD12" s="5"/>
      <c r="MOE12" s="5"/>
      <c r="MOG12" s="6"/>
      <c r="MOH12" s="5"/>
      <c r="MOL12" s="5"/>
      <c r="MOM12" s="5"/>
      <c r="MOO12" s="6"/>
      <c r="MOP12" s="5"/>
      <c r="MOT12" s="5"/>
      <c r="MOU12" s="5"/>
      <c r="MOW12" s="6"/>
      <c r="MOX12" s="5"/>
      <c r="MPB12" s="5"/>
      <c r="MPC12" s="5"/>
      <c r="MPE12" s="6"/>
      <c r="MPF12" s="5"/>
      <c r="MPJ12" s="5"/>
      <c r="MPK12" s="5"/>
      <c r="MPM12" s="6"/>
      <c r="MPN12" s="5"/>
      <c r="MPR12" s="5"/>
      <c r="MPS12" s="5"/>
      <c r="MPU12" s="6"/>
      <c r="MPV12" s="5"/>
      <c r="MPZ12" s="5"/>
      <c r="MQA12" s="5"/>
      <c r="MQC12" s="6"/>
      <c r="MQD12" s="5"/>
      <c r="MQH12" s="5"/>
      <c r="MQI12" s="5"/>
      <c r="MQK12" s="6"/>
      <c r="MQL12" s="5"/>
      <c r="MQP12" s="5"/>
      <c r="MQQ12" s="5"/>
      <c r="MQS12" s="6"/>
      <c r="MQT12" s="5"/>
      <c r="MQX12" s="5"/>
      <c r="MQY12" s="5"/>
      <c r="MRA12" s="6"/>
      <c r="MRB12" s="5"/>
      <c r="MRF12" s="5"/>
      <c r="MRG12" s="5"/>
      <c r="MRI12" s="6"/>
      <c r="MRJ12" s="5"/>
      <c r="MRN12" s="5"/>
      <c r="MRO12" s="5"/>
      <c r="MRQ12" s="6"/>
      <c r="MRR12" s="5"/>
      <c r="MRV12" s="5"/>
      <c r="MRW12" s="5"/>
      <c r="MRY12" s="6"/>
      <c r="MRZ12" s="5"/>
      <c r="MSD12" s="5"/>
      <c r="MSE12" s="5"/>
      <c r="MSG12" s="6"/>
      <c r="MSH12" s="5"/>
      <c r="MSL12" s="5"/>
      <c r="MSM12" s="5"/>
      <c r="MSO12" s="6"/>
      <c r="MSP12" s="5"/>
      <c r="MST12" s="5"/>
      <c r="MSU12" s="5"/>
      <c r="MSW12" s="6"/>
      <c r="MSX12" s="5"/>
      <c r="MTB12" s="5"/>
      <c r="MTC12" s="5"/>
      <c r="MTE12" s="6"/>
      <c r="MTF12" s="5"/>
      <c r="MTJ12" s="5"/>
      <c r="MTK12" s="5"/>
      <c r="MTM12" s="6"/>
      <c r="MTN12" s="5"/>
      <c r="MTR12" s="5"/>
      <c r="MTS12" s="5"/>
      <c r="MTU12" s="6"/>
      <c r="MTV12" s="5"/>
      <c r="MTZ12" s="5"/>
      <c r="MUA12" s="5"/>
      <c r="MUC12" s="6"/>
      <c r="MUD12" s="5"/>
      <c r="MUH12" s="5"/>
      <c r="MUI12" s="5"/>
      <c r="MUK12" s="6"/>
      <c r="MUL12" s="5"/>
      <c r="MUP12" s="5"/>
      <c r="MUQ12" s="5"/>
      <c r="MUS12" s="6"/>
      <c r="MUT12" s="5"/>
      <c r="MUX12" s="5"/>
      <c r="MUY12" s="5"/>
      <c r="MVA12" s="6"/>
      <c r="MVB12" s="5"/>
      <c r="MVF12" s="5"/>
      <c r="MVG12" s="5"/>
      <c r="MVI12" s="6"/>
      <c r="MVJ12" s="5"/>
      <c r="MVN12" s="5"/>
      <c r="MVO12" s="5"/>
      <c r="MVQ12" s="6"/>
      <c r="MVR12" s="5"/>
      <c r="MVV12" s="5"/>
      <c r="MVW12" s="5"/>
      <c r="MVY12" s="6"/>
      <c r="MVZ12" s="5"/>
      <c r="MWD12" s="5"/>
      <c r="MWE12" s="5"/>
      <c r="MWG12" s="6"/>
      <c r="MWH12" s="5"/>
      <c r="MWL12" s="5"/>
      <c r="MWM12" s="5"/>
      <c r="MWO12" s="6"/>
      <c r="MWP12" s="5"/>
      <c r="MWT12" s="5"/>
      <c r="MWU12" s="5"/>
      <c r="MWW12" s="6"/>
      <c r="MWX12" s="5"/>
      <c r="MXB12" s="5"/>
      <c r="MXC12" s="5"/>
      <c r="MXE12" s="6"/>
      <c r="MXF12" s="5"/>
      <c r="MXJ12" s="5"/>
      <c r="MXK12" s="5"/>
      <c r="MXM12" s="6"/>
      <c r="MXN12" s="5"/>
      <c r="MXR12" s="5"/>
      <c r="MXS12" s="5"/>
      <c r="MXU12" s="6"/>
      <c r="MXV12" s="5"/>
      <c r="MXZ12" s="5"/>
      <c r="MYA12" s="5"/>
      <c r="MYC12" s="6"/>
      <c r="MYD12" s="5"/>
      <c r="MYH12" s="5"/>
      <c r="MYI12" s="5"/>
      <c r="MYK12" s="6"/>
      <c r="MYL12" s="5"/>
      <c r="MYP12" s="5"/>
      <c r="MYQ12" s="5"/>
      <c r="MYS12" s="6"/>
      <c r="MYT12" s="5"/>
      <c r="MYX12" s="5"/>
      <c r="MYY12" s="5"/>
      <c r="MZA12" s="6"/>
      <c r="MZB12" s="5"/>
      <c r="MZF12" s="5"/>
      <c r="MZG12" s="5"/>
      <c r="MZI12" s="6"/>
      <c r="MZJ12" s="5"/>
      <c r="MZN12" s="5"/>
      <c r="MZO12" s="5"/>
      <c r="MZQ12" s="6"/>
      <c r="MZR12" s="5"/>
      <c r="MZV12" s="5"/>
      <c r="MZW12" s="5"/>
      <c r="MZY12" s="6"/>
      <c r="MZZ12" s="5"/>
      <c r="NAD12" s="5"/>
      <c r="NAE12" s="5"/>
      <c r="NAG12" s="6"/>
      <c r="NAH12" s="5"/>
      <c r="NAL12" s="5"/>
      <c r="NAM12" s="5"/>
      <c r="NAO12" s="6"/>
      <c r="NAP12" s="5"/>
      <c r="NAT12" s="5"/>
      <c r="NAU12" s="5"/>
      <c r="NAW12" s="6"/>
      <c r="NAX12" s="5"/>
      <c r="NBB12" s="5"/>
      <c r="NBC12" s="5"/>
      <c r="NBE12" s="6"/>
      <c r="NBF12" s="5"/>
      <c r="NBJ12" s="5"/>
      <c r="NBK12" s="5"/>
      <c r="NBM12" s="6"/>
      <c r="NBN12" s="5"/>
      <c r="NBR12" s="5"/>
      <c r="NBS12" s="5"/>
      <c r="NBU12" s="6"/>
      <c r="NBV12" s="5"/>
      <c r="NBZ12" s="5"/>
      <c r="NCA12" s="5"/>
      <c r="NCC12" s="6"/>
      <c r="NCD12" s="5"/>
      <c r="NCH12" s="5"/>
      <c r="NCI12" s="5"/>
      <c r="NCK12" s="6"/>
      <c r="NCL12" s="5"/>
      <c r="NCP12" s="5"/>
      <c r="NCQ12" s="5"/>
      <c r="NCS12" s="6"/>
      <c r="NCT12" s="5"/>
      <c r="NCX12" s="5"/>
      <c r="NCY12" s="5"/>
      <c r="NDA12" s="6"/>
      <c r="NDB12" s="5"/>
      <c r="NDF12" s="5"/>
      <c r="NDG12" s="5"/>
      <c r="NDI12" s="6"/>
      <c r="NDJ12" s="5"/>
      <c r="NDN12" s="5"/>
      <c r="NDO12" s="5"/>
      <c r="NDQ12" s="6"/>
      <c r="NDR12" s="5"/>
      <c r="NDV12" s="5"/>
      <c r="NDW12" s="5"/>
      <c r="NDY12" s="6"/>
      <c r="NDZ12" s="5"/>
      <c r="NED12" s="5"/>
      <c r="NEE12" s="5"/>
      <c r="NEG12" s="6"/>
      <c r="NEH12" s="5"/>
      <c r="NEL12" s="5"/>
      <c r="NEM12" s="5"/>
      <c r="NEO12" s="6"/>
      <c r="NEP12" s="5"/>
      <c r="NET12" s="5"/>
      <c r="NEU12" s="5"/>
      <c r="NEW12" s="6"/>
      <c r="NEX12" s="5"/>
      <c r="NFB12" s="5"/>
      <c r="NFC12" s="5"/>
      <c r="NFE12" s="6"/>
      <c r="NFF12" s="5"/>
      <c r="NFJ12" s="5"/>
      <c r="NFK12" s="5"/>
      <c r="NFM12" s="6"/>
      <c r="NFN12" s="5"/>
      <c r="NFR12" s="5"/>
      <c r="NFS12" s="5"/>
      <c r="NFU12" s="6"/>
      <c r="NFV12" s="5"/>
      <c r="NFZ12" s="5"/>
      <c r="NGA12" s="5"/>
      <c r="NGC12" s="6"/>
      <c r="NGD12" s="5"/>
      <c r="NGH12" s="5"/>
      <c r="NGI12" s="5"/>
      <c r="NGK12" s="6"/>
      <c r="NGL12" s="5"/>
      <c r="NGP12" s="5"/>
      <c r="NGQ12" s="5"/>
      <c r="NGS12" s="6"/>
      <c r="NGT12" s="5"/>
      <c r="NGX12" s="5"/>
      <c r="NGY12" s="5"/>
      <c r="NHA12" s="6"/>
      <c r="NHB12" s="5"/>
      <c r="NHF12" s="5"/>
      <c r="NHG12" s="5"/>
      <c r="NHI12" s="6"/>
      <c r="NHJ12" s="5"/>
      <c r="NHN12" s="5"/>
      <c r="NHO12" s="5"/>
      <c r="NHQ12" s="6"/>
      <c r="NHR12" s="5"/>
      <c r="NHV12" s="5"/>
      <c r="NHW12" s="5"/>
      <c r="NHY12" s="6"/>
      <c r="NHZ12" s="5"/>
      <c r="NID12" s="5"/>
      <c r="NIE12" s="5"/>
      <c r="NIG12" s="6"/>
      <c r="NIH12" s="5"/>
      <c r="NIL12" s="5"/>
      <c r="NIM12" s="5"/>
      <c r="NIO12" s="6"/>
      <c r="NIP12" s="5"/>
      <c r="NIT12" s="5"/>
      <c r="NIU12" s="5"/>
      <c r="NIW12" s="6"/>
      <c r="NIX12" s="5"/>
      <c r="NJB12" s="5"/>
      <c r="NJC12" s="5"/>
      <c r="NJE12" s="6"/>
      <c r="NJF12" s="5"/>
      <c r="NJJ12" s="5"/>
      <c r="NJK12" s="5"/>
      <c r="NJM12" s="6"/>
      <c r="NJN12" s="5"/>
      <c r="NJR12" s="5"/>
      <c r="NJS12" s="5"/>
      <c r="NJU12" s="6"/>
      <c r="NJV12" s="5"/>
      <c r="NJZ12" s="5"/>
      <c r="NKA12" s="5"/>
      <c r="NKC12" s="6"/>
      <c r="NKD12" s="5"/>
      <c r="NKH12" s="5"/>
      <c r="NKI12" s="5"/>
      <c r="NKK12" s="6"/>
      <c r="NKL12" s="5"/>
      <c r="NKP12" s="5"/>
      <c r="NKQ12" s="5"/>
      <c r="NKS12" s="6"/>
      <c r="NKT12" s="5"/>
      <c r="NKX12" s="5"/>
      <c r="NKY12" s="5"/>
      <c r="NLA12" s="6"/>
      <c r="NLB12" s="5"/>
      <c r="NLF12" s="5"/>
      <c r="NLG12" s="5"/>
      <c r="NLI12" s="6"/>
      <c r="NLJ12" s="5"/>
      <c r="NLN12" s="5"/>
      <c r="NLO12" s="5"/>
      <c r="NLQ12" s="6"/>
      <c r="NLR12" s="5"/>
      <c r="NLV12" s="5"/>
      <c r="NLW12" s="5"/>
      <c r="NLY12" s="6"/>
      <c r="NLZ12" s="5"/>
      <c r="NMD12" s="5"/>
      <c r="NME12" s="5"/>
      <c r="NMG12" s="6"/>
      <c r="NMH12" s="5"/>
      <c r="NML12" s="5"/>
      <c r="NMM12" s="5"/>
      <c r="NMO12" s="6"/>
      <c r="NMP12" s="5"/>
      <c r="NMT12" s="5"/>
      <c r="NMU12" s="5"/>
      <c r="NMW12" s="6"/>
      <c r="NMX12" s="5"/>
      <c r="NNB12" s="5"/>
      <c r="NNC12" s="5"/>
      <c r="NNE12" s="6"/>
      <c r="NNF12" s="5"/>
      <c r="NNJ12" s="5"/>
      <c r="NNK12" s="5"/>
      <c r="NNM12" s="6"/>
      <c r="NNN12" s="5"/>
      <c r="NNR12" s="5"/>
      <c r="NNS12" s="5"/>
      <c r="NNU12" s="6"/>
      <c r="NNV12" s="5"/>
      <c r="NNZ12" s="5"/>
      <c r="NOA12" s="5"/>
      <c r="NOC12" s="6"/>
      <c r="NOD12" s="5"/>
      <c r="NOH12" s="5"/>
      <c r="NOI12" s="5"/>
      <c r="NOK12" s="6"/>
      <c r="NOL12" s="5"/>
      <c r="NOP12" s="5"/>
      <c r="NOQ12" s="5"/>
      <c r="NOS12" s="6"/>
      <c r="NOT12" s="5"/>
      <c r="NOX12" s="5"/>
      <c r="NOY12" s="5"/>
      <c r="NPA12" s="6"/>
      <c r="NPB12" s="5"/>
      <c r="NPF12" s="5"/>
      <c r="NPG12" s="5"/>
      <c r="NPI12" s="6"/>
      <c r="NPJ12" s="5"/>
      <c r="NPN12" s="5"/>
      <c r="NPO12" s="5"/>
      <c r="NPQ12" s="6"/>
      <c r="NPR12" s="5"/>
      <c r="NPV12" s="5"/>
      <c r="NPW12" s="5"/>
      <c r="NPY12" s="6"/>
      <c r="NPZ12" s="5"/>
      <c r="NQD12" s="5"/>
      <c r="NQE12" s="5"/>
      <c r="NQG12" s="6"/>
      <c r="NQH12" s="5"/>
      <c r="NQL12" s="5"/>
      <c r="NQM12" s="5"/>
      <c r="NQO12" s="6"/>
      <c r="NQP12" s="5"/>
      <c r="NQT12" s="5"/>
      <c r="NQU12" s="5"/>
      <c r="NQW12" s="6"/>
      <c r="NQX12" s="5"/>
      <c r="NRB12" s="5"/>
      <c r="NRC12" s="5"/>
      <c r="NRE12" s="6"/>
      <c r="NRF12" s="5"/>
      <c r="NRJ12" s="5"/>
      <c r="NRK12" s="5"/>
      <c r="NRM12" s="6"/>
      <c r="NRN12" s="5"/>
      <c r="NRR12" s="5"/>
      <c r="NRS12" s="5"/>
      <c r="NRU12" s="6"/>
      <c r="NRV12" s="5"/>
      <c r="NRZ12" s="5"/>
      <c r="NSA12" s="5"/>
      <c r="NSC12" s="6"/>
      <c r="NSD12" s="5"/>
      <c r="NSH12" s="5"/>
      <c r="NSI12" s="5"/>
      <c r="NSK12" s="6"/>
      <c r="NSL12" s="5"/>
      <c r="NSP12" s="5"/>
      <c r="NSQ12" s="5"/>
      <c r="NSS12" s="6"/>
      <c r="NST12" s="5"/>
      <c r="NSX12" s="5"/>
      <c r="NSY12" s="5"/>
      <c r="NTA12" s="6"/>
      <c r="NTB12" s="5"/>
      <c r="NTF12" s="5"/>
      <c r="NTG12" s="5"/>
      <c r="NTI12" s="6"/>
      <c r="NTJ12" s="5"/>
      <c r="NTN12" s="5"/>
      <c r="NTO12" s="5"/>
      <c r="NTQ12" s="6"/>
      <c r="NTR12" s="5"/>
      <c r="NTV12" s="5"/>
      <c r="NTW12" s="5"/>
      <c r="NTY12" s="6"/>
      <c r="NTZ12" s="5"/>
      <c r="NUD12" s="5"/>
      <c r="NUE12" s="5"/>
      <c r="NUG12" s="6"/>
      <c r="NUH12" s="5"/>
      <c r="NUL12" s="5"/>
      <c r="NUM12" s="5"/>
      <c r="NUO12" s="6"/>
      <c r="NUP12" s="5"/>
      <c r="NUT12" s="5"/>
      <c r="NUU12" s="5"/>
      <c r="NUW12" s="6"/>
      <c r="NUX12" s="5"/>
      <c r="NVB12" s="5"/>
      <c r="NVC12" s="5"/>
      <c r="NVE12" s="6"/>
      <c r="NVF12" s="5"/>
      <c r="NVJ12" s="5"/>
      <c r="NVK12" s="5"/>
      <c r="NVM12" s="6"/>
      <c r="NVN12" s="5"/>
      <c r="NVR12" s="5"/>
      <c r="NVS12" s="5"/>
      <c r="NVU12" s="6"/>
      <c r="NVV12" s="5"/>
      <c r="NVZ12" s="5"/>
      <c r="NWA12" s="5"/>
      <c r="NWC12" s="6"/>
      <c r="NWD12" s="5"/>
      <c r="NWH12" s="5"/>
      <c r="NWI12" s="5"/>
      <c r="NWK12" s="6"/>
      <c r="NWL12" s="5"/>
      <c r="NWP12" s="5"/>
      <c r="NWQ12" s="5"/>
      <c r="NWS12" s="6"/>
      <c r="NWT12" s="5"/>
      <c r="NWX12" s="5"/>
      <c r="NWY12" s="5"/>
      <c r="NXA12" s="6"/>
      <c r="NXB12" s="5"/>
      <c r="NXF12" s="5"/>
      <c r="NXG12" s="5"/>
      <c r="NXI12" s="6"/>
      <c r="NXJ12" s="5"/>
      <c r="NXN12" s="5"/>
      <c r="NXO12" s="5"/>
      <c r="NXQ12" s="6"/>
      <c r="NXR12" s="5"/>
      <c r="NXV12" s="5"/>
      <c r="NXW12" s="5"/>
      <c r="NXY12" s="6"/>
      <c r="NXZ12" s="5"/>
      <c r="NYD12" s="5"/>
      <c r="NYE12" s="5"/>
      <c r="NYG12" s="6"/>
      <c r="NYH12" s="5"/>
      <c r="NYL12" s="5"/>
      <c r="NYM12" s="5"/>
      <c r="NYO12" s="6"/>
      <c r="NYP12" s="5"/>
      <c r="NYT12" s="5"/>
      <c r="NYU12" s="5"/>
      <c r="NYW12" s="6"/>
      <c r="NYX12" s="5"/>
      <c r="NZB12" s="5"/>
      <c r="NZC12" s="5"/>
      <c r="NZE12" s="6"/>
      <c r="NZF12" s="5"/>
      <c r="NZJ12" s="5"/>
      <c r="NZK12" s="5"/>
      <c r="NZM12" s="6"/>
      <c r="NZN12" s="5"/>
      <c r="NZR12" s="5"/>
      <c r="NZS12" s="5"/>
      <c r="NZU12" s="6"/>
      <c r="NZV12" s="5"/>
      <c r="NZZ12" s="5"/>
      <c r="OAA12" s="5"/>
      <c r="OAC12" s="6"/>
      <c r="OAD12" s="5"/>
      <c r="OAH12" s="5"/>
      <c r="OAI12" s="5"/>
      <c r="OAK12" s="6"/>
      <c r="OAL12" s="5"/>
      <c r="OAP12" s="5"/>
      <c r="OAQ12" s="5"/>
      <c r="OAS12" s="6"/>
      <c r="OAT12" s="5"/>
      <c r="OAX12" s="5"/>
      <c r="OAY12" s="5"/>
      <c r="OBA12" s="6"/>
      <c r="OBB12" s="5"/>
      <c r="OBF12" s="5"/>
      <c r="OBG12" s="5"/>
      <c r="OBI12" s="6"/>
      <c r="OBJ12" s="5"/>
      <c r="OBN12" s="5"/>
      <c r="OBO12" s="5"/>
      <c r="OBQ12" s="6"/>
      <c r="OBR12" s="5"/>
      <c r="OBV12" s="5"/>
      <c r="OBW12" s="5"/>
      <c r="OBY12" s="6"/>
      <c r="OBZ12" s="5"/>
      <c r="OCD12" s="5"/>
      <c r="OCE12" s="5"/>
      <c r="OCG12" s="6"/>
      <c r="OCH12" s="5"/>
      <c r="OCL12" s="5"/>
      <c r="OCM12" s="5"/>
      <c r="OCO12" s="6"/>
      <c r="OCP12" s="5"/>
      <c r="OCT12" s="5"/>
      <c r="OCU12" s="5"/>
      <c r="OCW12" s="6"/>
      <c r="OCX12" s="5"/>
      <c r="ODB12" s="5"/>
      <c r="ODC12" s="5"/>
      <c r="ODE12" s="6"/>
      <c r="ODF12" s="5"/>
      <c r="ODJ12" s="5"/>
      <c r="ODK12" s="5"/>
      <c r="ODM12" s="6"/>
      <c r="ODN12" s="5"/>
      <c r="ODR12" s="5"/>
      <c r="ODS12" s="5"/>
      <c r="ODU12" s="6"/>
      <c r="ODV12" s="5"/>
      <c r="ODZ12" s="5"/>
      <c r="OEA12" s="5"/>
      <c r="OEC12" s="6"/>
      <c r="OED12" s="5"/>
      <c r="OEH12" s="5"/>
      <c r="OEI12" s="5"/>
      <c r="OEK12" s="6"/>
      <c r="OEL12" s="5"/>
      <c r="OEP12" s="5"/>
      <c r="OEQ12" s="5"/>
      <c r="OES12" s="6"/>
      <c r="OET12" s="5"/>
      <c r="OEX12" s="5"/>
      <c r="OEY12" s="5"/>
      <c r="OFA12" s="6"/>
      <c r="OFB12" s="5"/>
      <c r="OFF12" s="5"/>
      <c r="OFG12" s="5"/>
      <c r="OFI12" s="6"/>
      <c r="OFJ12" s="5"/>
      <c r="OFN12" s="5"/>
      <c r="OFO12" s="5"/>
      <c r="OFQ12" s="6"/>
      <c r="OFR12" s="5"/>
      <c r="OFV12" s="5"/>
      <c r="OFW12" s="5"/>
      <c r="OFY12" s="6"/>
      <c r="OFZ12" s="5"/>
      <c r="OGD12" s="5"/>
      <c r="OGE12" s="5"/>
      <c r="OGG12" s="6"/>
      <c r="OGH12" s="5"/>
      <c r="OGL12" s="5"/>
      <c r="OGM12" s="5"/>
      <c r="OGO12" s="6"/>
      <c r="OGP12" s="5"/>
      <c r="OGT12" s="5"/>
      <c r="OGU12" s="5"/>
      <c r="OGW12" s="6"/>
      <c r="OGX12" s="5"/>
      <c r="OHB12" s="5"/>
      <c r="OHC12" s="5"/>
      <c r="OHE12" s="6"/>
      <c r="OHF12" s="5"/>
      <c r="OHJ12" s="5"/>
      <c r="OHK12" s="5"/>
      <c r="OHM12" s="6"/>
      <c r="OHN12" s="5"/>
      <c r="OHR12" s="5"/>
      <c r="OHS12" s="5"/>
      <c r="OHU12" s="6"/>
      <c r="OHV12" s="5"/>
      <c r="OHZ12" s="5"/>
      <c r="OIA12" s="5"/>
      <c r="OIC12" s="6"/>
      <c r="OID12" s="5"/>
      <c r="OIH12" s="5"/>
      <c r="OII12" s="5"/>
      <c r="OIK12" s="6"/>
      <c r="OIL12" s="5"/>
      <c r="OIP12" s="5"/>
      <c r="OIQ12" s="5"/>
      <c r="OIS12" s="6"/>
      <c r="OIT12" s="5"/>
      <c r="OIX12" s="5"/>
      <c r="OIY12" s="5"/>
      <c r="OJA12" s="6"/>
      <c r="OJB12" s="5"/>
      <c r="OJF12" s="5"/>
      <c r="OJG12" s="5"/>
      <c r="OJI12" s="6"/>
      <c r="OJJ12" s="5"/>
      <c r="OJN12" s="5"/>
      <c r="OJO12" s="5"/>
      <c r="OJQ12" s="6"/>
      <c r="OJR12" s="5"/>
      <c r="OJV12" s="5"/>
      <c r="OJW12" s="5"/>
      <c r="OJY12" s="6"/>
      <c r="OJZ12" s="5"/>
      <c r="OKD12" s="5"/>
      <c r="OKE12" s="5"/>
      <c r="OKG12" s="6"/>
      <c r="OKH12" s="5"/>
      <c r="OKL12" s="5"/>
      <c r="OKM12" s="5"/>
      <c r="OKO12" s="6"/>
      <c r="OKP12" s="5"/>
      <c r="OKT12" s="5"/>
      <c r="OKU12" s="5"/>
      <c r="OKW12" s="6"/>
      <c r="OKX12" s="5"/>
      <c r="OLB12" s="5"/>
      <c r="OLC12" s="5"/>
      <c r="OLE12" s="6"/>
      <c r="OLF12" s="5"/>
      <c r="OLJ12" s="5"/>
      <c r="OLK12" s="5"/>
      <c r="OLM12" s="6"/>
      <c r="OLN12" s="5"/>
      <c r="OLR12" s="5"/>
      <c r="OLS12" s="5"/>
      <c r="OLU12" s="6"/>
      <c r="OLV12" s="5"/>
      <c r="OLZ12" s="5"/>
      <c r="OMA12" s="5"/>
      <c r="OMC12" s="6"/>
      <c r="OMD12" s="5"/>
      <c r="OMH12" s="5"/>
      <c r="OMI12" s="5"/>
      <c r="OMK12" s="6"/>
      <c r="OML12" s="5"/>
      <c r="OMP12" s="5"/>
      <c r="OMQ12" s="5"/>
      <c r="OMS12" s="6"/>
      <c r="OMT12" s="5"/>
      <c r="OMX12" s="5"/>
      <c r="OMY12" s="5"/>
      <c r="ONA12" s="6"/>
      <c r="ONB12" s="5"/>
      <c r="ONF12" s="5"/>
      <c r="ONG12" s="5"/>
      <c r="ONI12" s="6"/>
      <c r="ONJ12" s="5"/>
      <c r="ONN12" s="5"/>
      <c r="ONO12" s="5"/>
      <c r="ONQ12" s="6"/>
      <c r="ONR12" s="5"/>
      <c r="ONV12" s="5"/>
      <c r="ONW12" s="5"/>
      <c r="ONY12" s="6"/>
      <c r="ONZ12" s="5"/>
      <c r="OOD12" s="5"/>
      <c r="OOE12" s="5"/>
      <c r="OOG12" s="6"/>
      <c r="OOH12" s="5"/>
      <c r="OOL12" s="5"/>
      <c r="OOM12" s="5"/>
      <c r="OOO12" s="6"/>
      <c r="OOP12" s="5"/>
      <c r="OOT12" s="5"/>
      <c r="OOU12" s="5"/>
      <c r="OOW12" s="6"/>
      <c r="OOX12" s="5"/>
      <c r="OPB12" s="5"/>
      <c r="OPC12" s="5"/>
      <c r="OPE12" s="6"/>
      <c r="OPF12" s="5"/>
      <c r="OPJ12" s="5"/>
      <c r="OPK12" s="5"/>
      <c r="OPM12" s="6"/>
      <c r="OPN12" s="5"/>
      <c r="OPR12" s="5"/>
      <c r="OPS12" s="5"/>
      <c r="OPU12" s="6"/>
      <c r="OPV12" s="5"/>
      <c r="OPZ12" s="5"/>
      <c r="OQA12" s="5"/>
      <c r="OQC12" s="6"/>
      <c r="OQD12" s="5"/>
      <c r="OQH12" s="5"/>
      <c r="OQI12" s="5"/>
      <c r="OQK12" s="6"/>
      <c r="OQL12" s="5"/>
      <c r="OQP12" s="5"/>
      <c r="OQQ12" s="5"/>
      <c r="OQS12" s="6"/>
      <c r="OQT12" s="5"/>
      <c r="OQX12" s="5"/>
      <c r="OQY12" s="5"/>
      <c r="ORA12" s="6"/>
      <c r="ORB12" s="5"/>
      <c r="ORF12" s="5"/>
      <c r="ORG12" s="5"/>
      <c r="ORI12" s="6"/>
      <c r="ORJ12" s="5"/>
      <c r="ORN12" s="5"/>
      <c r="ORO12" s="5"/>
      <c r="ORQ12" s="6"/>
      <c r="ORR12" s="5"/>
      <c r="ORV12" s="5"/>
      <c r="ORW12" s="5"/>
      <c r="ORY12" s="6"/>
      <c r="ORZ12" s="5"/>
      <c r="OSD12" s="5"/>
      <c r="OSE12" s="5"/>
      <c r="OSG12" s="6"/>
      <c r="OSH12" s="5"/>
      <c r="OSL12" s="5"/>
      <c r="OSM12" s="5"/>
      <c r="OSO12" s="6"/>
      <c r="OSP12" s="5"/>
      <c r="OST12" s="5"/>
      <c r="OSU12" s="5"/>
      <c r="OSW12" s="6"/>
      <c r="OSX12" s="5"/>
      <c r="OTB12" s="5"/>
      <c r="OTC12" s="5"/>
      <c r="OTE12" s="6"/>
      <c r="OTF12" s="5"/>
      <c r="OTJ12" s="5"/>
      <c r="OTK12" s="5"/>
      <c r="OTM12" s="6"/>
      <c r="OTN12" s="5"/>
      <c r="OTR12" s="5"/>
      <c r="OTS12" s="5"/>
      <c r="OTU12" s="6"/>
      <c r="OTV12" s="5"/>
      <c r="OTZ12" s="5"/>
      <c r="OUA12" s="5"/>
      <c r="OUC12" s="6"/>
      <c r="OUD12" s="5"/>
      <c r="OUH12" s="5"/>
      <c r="OUI12" s="5"/>
      <c r="OUK12" s="6"/>
      <c r="OUL12" s="5"/>
      <c r="OUP12" s="5"/>
      <c r="OUQ12" s="5"/>
      <c r="OUS12" s="6"/>
      <c r="OUT12" s="5"/>
      <c r="OUX12" s="5"/>
      <c r="OUY12" s="5"/>
      <c r="OVA12" s="6"/>
      <c r="OVB12" s="5"/>
      <c r="OVF12" s="5"/>
      <c r="OVG12" s="5"/>
      <c r="OVI12" s="6"/>
      <c r="OVJ12" s="5"/>
      <c r="OVN12" s="5"/>
      <c r="OVO12" s="5"/>
      <c r="OVQ12" s="6"/>
      <c r="OVR12" s="5"/>
      <c r="OVV12" s="5"/>
      <c r="OVW12" s="5"/>
      <c r="OVY12" s="6"/>
      <c r="OVZ12" s="5"/>
      <c r="OWD12" s="5"/>
      <c r="OWE12" s="5"/>
      <c r="OWG12" s="6"/>
      <c r="OWH12" s="5"/>
      <c r="OWL12" s="5"/>
      <c r="OWM12" s="5"/>
      <c r="OWO12" s="6"/>
      <c r="OWP12" s="5"/>
      <c r="OWT12" s="5"/>
      <c r="OWU12" s="5"/>
      <c r="OWW12" s="6"/>
      <c r="OWX12" s="5"/>
      <c r="OXB12" s="5"/>
      <c r="OXC12" s="5"/>
      <c r="OXE12" s="6"/>
      <c r="OXF12" s="5"/>
      <c r="OXJ12" s="5"/>
      <c r="OXK12" s="5"/>
      <c r="OXM12" s="6"/>
      <c r="OXN12" s="5"/>
      <c r="OXR12" s="5"/>
      <c r="OXS12" s="5"/>
      <c r="OXU12" s="6"/>
      <c r="OXV12" s="5"/>
      <c r="OXZ12" s="5"/>
      <c r="OYA12" s="5"/>
      <c r="OYC12" s="6"/>
      <c r="OYD12" s="5"/>
      <c r="OYH12" s="5"/>
      <c r="OYI12" s="5"/>
      <c r="OYK12" s="6"/>
      <c r="OYL12" s="5"/>
      <c r="OYP12" s="5"/>
      <c r="OYQ12" s="5"/>
      <c r="OYS12" s="6"/>
      <c r="OYT12" s="5"/>
      <c r="OYX12" s="5"/>
      <c r="OYY12" s="5"/>
      <c r="OZA12" s="6"/>
      <c r="OZB12" s="5"/>
      <c r="OZF12" s="5"/>
      <c r="OZG12" s="5"/>
      <c r="OZI12" s="6"/>
      <c r="OZJ12" s="5"/>
      <c r="OZN12" s="5"/>
      <c r="OZO12" s="5"/>
      <c r="OZQ12" s="6"/>
      <c r="OZR12" s="5"/>
      <c r="OZV12" s="5"/>
      <c r="OZW12" s="5"/>
      <c r="OZY12" s="6"/>
      <c r="OZZ12" s="5"/>
      <c r="PAD12" s="5"/>
      <c r="PAE12" s="5"/>
      <c r="PAG12" s="6"/>
      <c r="PAH12" s="5"/>
      <c r="PAL12" s="5"/>
      <c r="PAM12" s="5"/>
      <c r="PAO12" s="6"/>
      <c r="PAP12" s="5"/>
      <c r="PAT12" s="5"/>
      <c r="PAU12" s="5"/>
      <c r="PAW12" s="6"/>
      <c r="PAX12" s="5"/>
      <c r="PBB12" s="5"/>
      <c r="PBC12" s="5"/>
      <c r="PBE12" s="6"/>
      <c r="PBF12" s="5"/>
      <c r="PBJ12" s="5"/>
      <c r="PBK12" s="5"/>
      <c r="PBM12" s="6"/>
      <c r="PBN12" s="5"/>
      <c r="PBR12" s="5"/>
      <c r="PBS12" s="5"/>
      <c r="PBU12" s="6"/>
      <c r="PBV12" s="5"/>
      <c r="PBZ12" s="5"/>
      <c r="PCA12" s="5"/>
      <c r="PCC12" s="6"/>
      <c r="PCD12" s="5"/>
      <c r="PCH12" s="5"/>
      <c r="PCI12" s="5"/>
      <c r="PCK12" s="6"/>
      <c r="PCL12" s="5"/>
      <c r="PCP12" s="5"/>
      <c r="PCQ12" s="5"/>
      <c r="PCS12" s="6"/>
      <c r="PCT12" s="5"/>
      <c r="PCX12" s="5"/>
      <c r="PCY12" s="5"/>
      <c r="PDA12" s="6"/>
      <c r="PDB12" s="5"/>
      <c r="PDF12" s="5"/>
      <c r="PDG12" s="5"/>
      <c r="PDI12" s="6"/>
      <c r="PDJ12" s="5"/>
      <c r="PDN12" s="5"/>
      <c r="PDO12" s="5"/>
      <c r="PDQ12" s="6"/>
      <c r="PDR12" s="5"/>
      <c r="PDV12" s="5"/>
      <c r="PDW12" s="5"/>
      <c r="PDY12" s="6"/>
      <c r="PDZ12" s="5"/>
      <c r="PED12" s="5"/>
      <c r="PEE12" s="5"/>
      <c r="PEG12" s="6"/>
      <c r="PEH12" s="5"/>
      <c r="PEL12" s="5"/>
      <c r="PEM12" s="5"/>
      <c r="PEO12" s="6"/>
      <c r="PEP12" s="5"/>
      <c r="PET12" s="5"/>
      <c r="PEU12" s="5"/>
      <c r="PEW12" s="6"/>
      <c r="PEX12" s="5"/>
      <c r="PFB12" s="5"/>
      <c r="PFC12" s="5"/>
      <c r="PFE12" s="6"/>
      <c r="PFF12" s="5"/>
      <c r="PFJ12" s="5"/>
      <c r="PFK12" s="5"/>
      <c r="PFM12" s="6"/>
      <c r="PFN12" s="5"/>
      <c r="PFR12" s="5"/>
      <c r="PFS12" s="5"/>
      <c r="PFU12" s="6"/>
      <c r="PFV12" s="5"/>
      <c r="PFZ12" s="5"/>
      <c r="PGA12" s="5"/>
      <c r="PGC12" s="6"/>
      <c r="PGD12" s="5"/>
      <c r="PGH12" s="5"/>
      <c r="PGI12" s="5"/>
      <c r="PGK12" s="6"/>
      <c r="PGL12" s="5"/>
      <c r="PGP12" s="5"/>
      <c r="PGQ12" s="5"/>
      <c r="PGS12" s="6"/>
      <c r="PGT12" s="5"/>
      <c r="PGX12" s="5"/>
      <c r="PGY12" s="5"/>
      <c r="PHA12" s="6"/>
      <c r="PHB12" s="5"/>
      <c r="PHF12" s="5"/>
      <c r="PHG12" s="5"/>
      <c r="PHI12" s="6"/>
      <c r="PHJ12" s="5"/>
      <c r="PHN12" s="5"/>
      <c r="PHO12" s="5"/>
      <c r="PHQ12" s="6"/>
      <c r="PHR12" s="5"/>
      <c r="PHV12" s="5"/>
      <c r="PHW12" s="5"/>
      <c r="PHY12" s="6"/>
      <c r="PHZ12" s="5"/>
      <c r="PID12" s="5"/>
      <c r="PIE12" s="5"/>
      <c r="PIG12" s="6"/>
      <c r="PIH12" s="5"/>
      <c r="PIL12" s="5"/>
      <c r="PIM12" s="5"/>
      <c r="PIO12" s="6"/>
      <c r="PIP12" s="5"/>
      <c r="PIT12" s="5"/>
      <c r="PIU12" s="5"/>
      <c r="PIW12" s="6"/>
      <c r="PIX12" s="5"/>
      <c r="PJB12" s="5"/>
      <c r="PJC12" s="5"/>
      <c r="PJE12" s="6"/>
      <c r="PJF12" s="5"/>
      <c r="PJJ12" s="5"/>
      <c r="PJK12" s="5"/>
      <c r="PJM12" s="6"/>
      <c r="PJN12" s="5"/>
      <c r="PJR12" s="5"/>
      <c r="PJS12" s="5"/>
      <c r="PJU12" s="6"/>
      <c r="PJV12" s="5"/>
      <c r="PJZ12" s="5"/>
      <c r="PKA12" s="5"/>
      <c r="PKC12" s="6"/>
      <c r="PKD12" s="5"/>
      <c r="PKH12" s="5"/>
      <c r="PKI12" s="5"/>
      <c r="PKK12" s="6"/>
      <c r="PKL12" s="5"/>
      <c r="PKP12" s="5"/>
      <c r="PKQ12" s="5"/>
      <c r="PKS12" s="6"/>
      <c r="PKT12" s="5"/>
      <c r="PKX12" s="5"/>
      <c r="PKY12" s="5"/>
      <c r="PLA12" s="6"/>
      <c r="PLB12" s="5"/>
      <c r="PLF12" s="5"/>
      <c r="PLG12" s="5"/>
      <c r="PLI12" s="6"/>
      <c r="PLJ12" s="5"/>
      <c r="PLN12" s="5"/>
      <c r="PLO12" s="5"/>
      <c r="PLQ12" s="6"/>
      <c r="PLR12" s="5"/>
      <c r="PLV12" s="5"/>
      <c r="PLW12" s="5"/>
      <c r="PLY12" s="6"/>
      <c r="PLZ12" s="5"/>
      <c r="PMD12" s="5"/>
      <c r="PME12" s="5"/>
      <c r="PMG12" s="6"/>
      <c r="PMH12" s="5"/>
      <c r="PML12" s="5"/>
      <c r="PMM12" s="5"/>
      <c r="PMO12" s="6"/>
      <c r="PMP12" s="5"/>
      <c r="PMT12" s="5"/>
      <c r="PMU12" s="5"/>
      <c r="PMW12" s="6"/>
      <c r="PMX12" s="5"/>
      <c r="PNB12" s="5"/>
      <c r="PNC12" s="5"/>
      <c r="PNE12" s="6"/>
      <c r="PNF12" s="5"/>
      <c r="PNJ12" s="5"/>
      <c r="PNK12" s="5"/>
      <c r="PNM12" s="6"/>
      <c r="PNN12" s="5"/>
      <c r="PNR12" s="5"/>
      <c r="PNS12" s="5"/>
      <c r="PNU12" s="6"/>
      <c r="PNV12" s="5"/>
      <c r="PNZ12" s="5"/>
      <c r="POA12" s="5"/>
      <c r="POC12" s="6"/>
      <c r="POD12" s="5"/>
      <c r="POH12" s="5"/>
      <c r="POI12" s="5"/>
      <c r="POK12" s="6"/>
      <c r="POL12" s="5"/>
      <c r="POP12" s="5"/>
      <c r="POQ12" s="5"/>
      <c r="POS12" s="6"/>
      <c r="POT12" s="5"/>
      <c r="POX12" s="5"/>
      <c r="POY12" s="5"/>
      <c r="PPA12" s="6"/>
      <c r="PPB12" s="5"/>
      <c r="PPF12" s="5"/>
      <c r="PPG12" s="5"/>
      <c r="PPI12" s="6"/>
      <c r="PPJ12" s="5"/>
      <c r="PPN12" s="5"/>
      <c r="PPO12" s="5"/>
      <c r="PPQ12" s="6"/>
      <c r="PPR12" s="5"/>
      <c r="PPV12" s="5"/>
      <c r="PPW12" s="5"/>
      <c r="PPY12" s="6"/>
      <c r="PPZ12" s="5"/>
      <c r="PQD12" s="5"/>
      <c r="PQE12" s="5"/>
      <c r="PQG12" s="6"/>
      <c r="PQH12" s="5"/>
      <c r="PQL12" s="5"/>
      <c r="PQM12" s="5"/>
      <c r="PQO12" s="6"/>
      <c r="PQP12" s="5"/>
      <c r="PQT12" s="5"/>
      <c r="PQU12" s="5"/>
      <c r="PQW12" s="6"/>
      <c r="PQX12" s="5"/>
      <c r="PRB12" s="5"/>
      <c r="PRC12" s="5"/>
      <c r="PRE12" s="6"/>
      <c r="PRF12" s="5"/>
      <c r="PRJ12" s="5"/>
      <c r="PRK12" s="5"/>
      <c r="PRM12" s="6"/>
      <c r="PRN12" s="5"/>
      <c r="PRR12" s="5"/>
      <c r="PRS12" s="5"/>
      <c r="PRU12" s="6"/>
      <c r="PRV12" s="5"/>
      <c r="PRZ12" s="5"/>
      <c r="PSA12" s="5"/>
      <c r="PSC12" s="6"/>
      <c r="PSD12" s="5"/>
      <c r="PSH12" s="5"/>
      <c r="PSI12" s="5"/>
      <c r="PSK12" s="6"/>
      <c r="PSL12" s="5"/>
      <c r="PSP12" s="5"/>
      <c r="PSQ12" s="5"/>
      <c r="PSS12" s="6"/>
      <c r="PST12" s="5"/>
      <c r="PSX12" s="5"/>
      <c r="PSY12" s="5"/>
      <c r="PTA12" s="6"/>
      <c r="PTB12" s="5"/>
      <c r="PTF12" s="5"/>
      <c r="PTG12" s="5"/>
      <c r="PTI12" s="6"/>
      <c r="PTJ12" s="5"/>
      <c r="PTN12" s="5"/>
      <c r="PTO12" s="5"/>
      <c r="PTQ12" s="6"/>
      <c r="PTR12" s="5"/>
      <c r="PTV12" s="5"/>
      <c r="PTW12" s="5"/>
      <c r="PTY12" s="6"/>
      <c r="PTZ12" s="5"/>
      <c r="PUD12" s="5"/>
      <c r="PUE12" s="5"/>
      <c r="PUG12" s="6"/>
      <c r="PUH12" s="5"/>
      <c r="PUL12" s="5"/>
      <c r="PUM12" s="5"/>
      <c r="PUO12" s="6"/>
      <c r="PUP12" s="5"/>
      <c r="PUT12" s="5"/>
      <c r="PUU12" s="5"/>
      <c r="PUW12" s="6"/>
      <c r="PUX12" s="5"/>
      <c r="PVB12" s="5"/>
      <c r="PVC12" s="5"/>
      <c r="PVE12" s="6"/>
      <c r="PVF12" s="5"/>
      <c r="PVJ12" s="5"/>
      <c r="PVK12" s="5"/>
      <c r="PVM12" s="6"/>
      <c r="PVN12" s="5"/>
      <c r="PVR12" s="5"/>
      <c r="PVS12" s="5"/>
      <c r="PVU12" s="6"/>
      <c r="PVV12" s="5"/>
      <c r="PVZ12" s="5"/>
      <c r="PWA12" s="5"/>
      <c r="PWC12" s="6"/>
      <c r="PWD12" s="5"/>
      <c r="PWH12" s="5"/>
      <c r="PWI12" s="5"/>
      <c r="PWK12" s="6"/>
      <c r="PWL12" s="5"/>
      <c r="PWP12" s="5"/>
      <c r="PWQ12" s="5"/>
      <c r="PWS12" s="6"/>
      <c r="PWT12" s="5"/>
      <c r="PWX12" s="5"/>
      <c r="PWY12" s="5"/>
      <c r="PXA12" s="6"/>
      <c r="PXB12" s="5"/>
      <c r="PXF12" s="5"/>
      <c r="PXG12" s="5"/>
      <c r="PXI12" s="6"/>
      <c r="PXJ12" s="5"/>
      <c r="PXN12" s="5"/>
      <c r="PXO12" s="5"/>
      <c r="PXQ12" s="6"/>
      <c r="PXR12" s="5"/>
      <c r="PXV12" s="5"/>
      <c r="PXW12" s="5"/>
      <c r="PXY12" s="6"/>
      <c r="PXZ12" s="5"/>
      <c r="PYD12" s="5"/>
      <c r="PYE12" s="5"/>
      <c r="PYG12" s="6"/>
      <c r="PYH12" s="5"/>
      <c r="PYL12" s="5"/>
      <c r="PYM12" s="5"/>
      <c r="PYO12" s="6"/>
      <c r="PYP12" s="5"/>
      <c r="PYT12" s="5"/>
      <c r="PYU12" s="5"/>
      <c r="PYW12" s="6"/>
      <c r="PYX12" s="5"/>
      <c r="PZB12" s="5"/>
      <c r="PZC12" s="5"/>
      <c r="PZE12" s="6"/>
      <c r="PZF12" s="5"/>
      <c r="PZJ12" s="5"/>
      <c r="PZK12" s="5"/>
      <c r="PZM12" s="6"/>
      <c r="PZN12" s="5"/>
      <c r="PZR12" s="5"/>
      <c r="PZS12" s="5"/>
      <c r="PZU12" s="6"/>
      <c r="PZV12" s="5"/>
      <c r="PZZ12" s="5"/>
      <c r="QAA12" s="5"/>
      <c r="QAC12" s="6"/>
      <c r="QAD12" s="5"/>
      <c r="QAH12" s="5"/>
      <c r="QAI12" s="5"/>
      <c r="QAK12" s="6"/>
      <c r="QAL12" s="5"/>
      <c r="QAP12" s="5"/>
      <c r="QAQ12" s="5"/>
      <c r="QAS12" s="6"/>
      <c r="QAT12" s="5"/>
      <c r="QAX12" s="5"/>
      <c r="QAY12" s="5"/>
      <c r="QBA12" s="6"/>
      <c r="QBB12" s="5"/>
      <c r="QBF12" s="5"/>
      <c r="QBG12" s="5"/>
      <c r="QBI12" s="6"/>
      <c r="QBJ12" s="5"/>
      <c r="QBN12" s="5"/>
      <c r="QBO12" s="5"/>
      <c r="QBQ12" s="6"/>
      <c r="QBR12" s="5"/>
      <c r="QBV12" s="5"/>
      <c r="QBW12" s="5"/>
      <c r="QBY12" s="6"/>
      <c r="QBZ12" s="5"/>
      <c r="QCD12" s="5"/>
      <c r="QCE12" s="5"/>
      <c r="QCG12" s="6"/>
      <c r="QCH12" s="5"/>
      <c r="QCL12" s="5"/>
      <c r="QCM12" s="5"/>
      <c r="QCO12" s="6"/>
      <c r="QCP12" s="5"/>
      <c r="QCT12" s="5"/>
      <c r="QCU12" s="5"/>
      <c r="QCW12" s="6"/>
      <c r="QCX12" s="5"/>
      <c r="QDB12" s="5"/>
      <c r="QDC12" s="5"/>
      <c r="QDE12" s="6"/>
      <c r="QDF12" s="5"/>
      <c r="QDJ12" s="5"/>
      <c r="QDK12" s="5"/>
      <c r="QDM12" s="6"/>
      <c r="QDN12" s="5"/>
      <c r="QDR12" s="5"/>
      <c r="QDS12" s="5"/>
      <c r="QDU12" s="6"/>
      <c r="QDV12" s="5"/>
      <c r="QDZ12" s="5"/>
      <c r="QEA12" s="5"/>
      <c r="QEC12" s="6"/>
      <c r="QED12" s="5"/>
      <c r="QEH12" s="5"/>
      <c r="QEI12" s="5"/>
      <c r="QEK12" s="6"/>
      <c r="QEL12" s="5"/>
      <c r="QEP12" s="5"/>
      <c r="QEQ12" s="5"/>
      <c r="QES12" s="6"/>
      <c r="QET12" s="5"/>
      <c r="QEX12" s="5"/>
      <c r="QEY12" s="5"/>
      <c r="QFA12" s="6"/>
      <c r="QFB12" s="5"/>
      <c r="QFF12" s="5"/>
      <c r="QFG12" s="5"/>
      <c r="QFI12" s="6"/>
      <c r="QFJ12" s="5"/>
      <c r="QFN12" s="5"/>
      <c r="QFO12" s="5"/>
      <c r="QFQ12" s="6"/>
      <c r="QFR12" s="5"/>
      <c r="QFV12" s="5"/>
      <c r="QFW12" s="5"/>
      <c r="QFY12" s="6"/>
      <c r="QFZ12" s="5"/>
      <c r="QGD12" s="5"/>
      <c r="QGE12" s="5"/>
      <c r="QGG12" s="6"/>
      <c r="QGH12" s="5"/>
      <c r="QGL12" s="5"/>
      <c r="QGM12" s="5"/>
      <c r="QGO12" s="6"/>
      <c r="QGP12" s="5"/>
      <c r="QGT12" s="5"/>
      <c r="QGU12" s="5"/>
      <c r="QGW12" s="6"/>
      <c r="QGX12" s="5"/>
      <c r="QHB12" s="5"/>
      <c r="QHC12" s="5"/>
      <c r="QHE12" s="6"/>
      <c r="QHF12" s="5"/>
      <c r="QHJ12" s="5"/>
      <c r="QHK12" s="5"/>
      <c r="QHM12" s="6"/>
      <c r="QHN12" s="5"/>
      <c r="QHR12" s="5"/>
      <c r="QHS12" s="5"/>
      <c r="QHU12" s="6"/>
      <c r="QHV12" s="5"/>
      <c r="QHZ12" s="5"/>
      <c r="QIA12" s="5"/>
      <c r="QIC12" s="6"/>
      <c r="QID12" s="5"/>
      <c r="QIH12" s="5"/>
      <c r="QII12" s="5"/>
      <c r="QIK12" s="6"/>
      <c r="QIL12" s="5"/>
      <c r="QIP12" s="5"/>
      <c r="QIQ12" s="5"/>
      <c r="QIS12" s="6"/>
      <c r="QIT12" s="5"/>
      <c r="QIX12" s="5"/>
      <c r="QIY12" s="5"/>
      <c r="QJA12" s="6"/>
      <c r="QJB12" s="5"/>
      <c r="QJF12" s="5"/>
      <c r="QJG12" s="5"/>
      <c r="QJI12" s="6"/>
      <c r="QJJ12" s="5"/>
      <c r="QJN12" s="5"/>
      <c r="QJO12" s="5"/>
      <c r="QJQ12" s="6"/>
      <c r="QJR12" s="5"/>
      <c r="QJV12" s="5"/>
      <c r="QJW12" s="5"/>
      <c r="QJY12" s="6"/>
      <c r="QJZ12" s="5"/>
      <c r="QKD12" s="5"/>
      <c r="QKE12" s="5"/>
      <c r="QKG12" s="6"/>
      <c r="QKH12" s="5"/>
      <c r="QKL12" s="5"/>
      <c r="QKM12" s="5"/>
      <c r="QKO12" s="6"/>
      <c r="QKP12" s="5"/>
      <c r="QKT12" s="5"/>
      <c r="QKU12" s="5"/>
      <c r="QKW12" s="6"/>
      <c r="QKX12" s="5"/>
      <c r="QLB12" s="5"/>
      <c r="QLC12" s="5"/>
      <c r="QLE12" s="6"/>
      <c r="QLF12" s="5"/>
      <c r="QLJ12" s="5"/>
      <c r="QLK12" s="5"/>
      <c r="QLM12" s="6"/>
      <c r="QLN12" s="5"/>
      <c r="QLR12" s="5"/>
      <c r="QLS12" s="5"/>
      <c r="QLU12" s="6"/>
      <c r="QLV12" s="5"/>
      <c r="QLZ12" s="5"/>
      <c r="QMA12" s="5"/>
      <c r="QMC12" s="6"/>
      <c r="QMD12" s="5"/>
      <c r="QMH12" s="5"/>
      <c r="QMI12" s="5"/>
      <c r="QMK12" s="6"/>
      <c r="QML12" s="5"/>
      <c r="QMP12" s="5"/>
      <c r="QMQ12" s="5"/>
      <c r="QMS12" s="6"/>
      <c r="QMT12" s="5"/>
      <c r="QMX12" s="5"/>
      <c r="QMY12" s="5"/>
      <c r="QNA12" s="6"/>
      <c r="QNB12" s="5"/>
      <c r="QNF12" s="5"/>
      <c r="QNG12" s="5"/>
      <c r="QNI12" s="6"/>
      <c r="QNJ12" s="5"/>
      <c r="QNN12" s="5"/>
      <c r="QNO12" s="5"/>
      <c r="QNQ12" s="6"/>
      <c r="QNR12" s="5"/>
      <c r="QNV12" s="5"/>
      <c r="QNW12" s="5"/>
      <c r="QNY12" s="6"/>
      <c r="QNZ12" s="5"/>
      <c r="QOD12" s="5"/>
      <c r="QOE12" s="5"/>
      <c r="QOG12" s="6"/>
      <c r="QOH12" s="5"/>
      <c r="QOL12" s="5"/>
      <c r="QOM12" s="5"/>
      <c r="QOO12" s="6"/>
      <c r="QOP12" s="5"/>
      <c r="QOT12" s="5"/>
      <c r="QOU12" s="5"/>
      <c r="QOW12" s="6"/>
      <c r="QOX12" s="5"/>
      <c r="QPB12" s="5"/>
      <c r="QPC12" s="5"/>
      <c r="QPE12" s="6"/>
      <c r="QPF12" s="5"/>
      <c r="QPJ12" s="5"/>
      <c r="QPK12" s="5"/>
      <c r="QPM12" s="6"/>
      <c r="QPN12" s="5"/>
      <c r="QPR12" s="5"/>
      <c r="QPS12" s="5"/>
      <c r="QPU12" s="6"/>
      <c r="QPV12" s="5"/>
      <c r="QPZ12" s="5"/>
      <c r="QQA12" s="5"/>
      <c r="QQC12" s="6"/>
      <c r="QQD12" s="5"/>
      <c r="QQH12" s="5"/>
      <c r="QQI12" s="5"/>
      <c r="QQK12" s="6"/>
      <c r="QQL12" s="5"/>
      <c r="QQP12" s="5"/>
      <c r="QQQ12" s="5"/>
      <c r="QQS12" s="6"/>
      <c r="QQT12" s="5"/>
      <c r="QQX12" s="5"/>
      <c r="QQY12" s="5"/>
      <c r="QRA12" s="6"/>
      <c r="QRB12" s="5"/>
      <c r="QRF12" s="5"/>
      <c r="QRG12" s="5"/>
      <c r="QRI12" s="6"/>
      <c r="QRJ12" s="5"/>
      <c r="QRN12" s="5"/>
      <c r="QRO12" s="5"/>
      <c r="QRQ12" s="6"/>
      <c r="QRR12" s="5"/>
      <c r="QRV12" s="5"/>
      <c r="QRW12" s="5"/>
      <c r="QRY12" s="6"/>
      <c r="QRZ12" s="5"/>
      <c r="QSD12" s="5"/>
      <c r="QSE12" s="5"/>
      <c r="QSG12" s="6"/>
      <c r="QSH12" s="5"/>
      <c r="QSL12" s="5"/>
      <c r="QSM12" s="5"/>
      <c r="QSO12" s="6"/>
      <c r="QSP12" s="5"/>
      <c r="QST12" s="5"/>
      <c r="QSU12" s="5"/>
      <c r="QSW12" s="6"/>
      <c r="QSX12" s="5"/>
      <c r="QTB12" s="5"/>
      <c r="QTC12" s="5"/>
      <c r="QTE12" s="6"/>
      <c r="QTF12" s="5"/>
      <c r="QTJ12" s="5"/>
      <c r="QTK12" s="5"/>
      <c r="QTM12" s="6"/>
      <c r="QTN12" s="5"/>
      <c r="QTR12" s="5"/>
      <c r="QTS12" s="5"/>
      <c r="QTU12" s="6"/>
      <c r="QTV12" s="5"/>
      <c r="QTZ12" s="5"/>
      <c r="QUA12" s="5"/>
      <c r="QUC12" s="6"/>
      <c r="QUD12" s="5"/>
      <c r="QUH12" s="5"/>
      <c r="QUI12" s="5"/>
      <c r="QUK12" s="6"/>
      <c r="QUL12" s="5"/>
      <c r="QUP12" s="5"/>
      <c r="QUQ12" s="5"/>
      <c r="QUS12" s="6"/>
      <c r="QUT12" s="5"/>
      <c r="QUX12" s="5"/>
      <c r="QUY12" s="5"/>
      <c r="QVA12" s="6"/>
      <c r="QVB12" s="5"/>
      <c r="QVF12" s="5"/>
      <c r="QVG12" s="5"/>
      <c r="QVI12" s="6"/>
      <c r="QVJ12" s="5"/>
      <c r="QVN12" s="5"/>
      <c r="QVO12" s="5"/>
      <c r="QVQ12" s="6"/>
      <c r="QVR12" s="5"/>
      <c r="QVV12" s="5"/>
      <c r="QVW12" s="5"/>
      <c r="QVY12" s="6"/>
      <c r="QVZ12" s="5"/>
      <c r="QWD12" s="5"/>
      <c r="QWE12" s="5"/>
      <c r="QWG12" s="6"/>
      <c r="QWH12" s="5"/>
      <c r="QWL12" s="5"/>
      <c r="QWM12" s="5"/>
      <c r="QWO12" s="6"/>
      <c r="QWP12" s="5"/>
      <c r="QWT12" s="5"/>
      <c r="QWU12" s="5"/>
      <c r="QWW12" s="6"/>
      <c r="QWX12" s="5"/>
      <c r="QXB12" s="5"/>
      <c r="QXC12" s="5"/>
      <c r="QXE12" s="6"/>
      <c r="QXF12" s="5"/>
      <c r="QXJ12" s="5"/>
      <c r="QXK12" s="5"/>
      <c r="QXM12" s="6"/>
      <c r="QXN12" s="5"/>
      <c r="QXR12" s="5"/>
      <c r="QXS12" s="5"/>
      <c r="QXU12" s="6"/>
      <c r="QXV12" s="5"/>
      <c r="QXZ12" s="5"/>
      <c r="QYA12" s="5"/>
      <c r="QYC12" s="6"/>
      <c r="QYD12" s="5"/>
      <c r="QYH12" s="5"/>
      <c r="QYI12" s="5"/>
      <c r="QYK12" s="6"/>
      <c r="QYL12" s="5"/>
      <c r="QYP12" s="5"/>
      <c r="QYQ12" s="5"/>
      <c r="QYS12" s="6"/>
      <c r="QYT12" s="5"/>
      <c r="QYX12" s="5"/>
      <c r="QYY12" s="5"/>
      <c r="QZA12" s="6"/>
      <c r="QZB12" s="5"/>
      <c r="QZF12" s="5"/>
      <c r="QZG12" s="5"/>
      <c r="QZI12" s="6"/>
      <c r="QZJ12" s="5"/>
      <c r="QZN12" s="5"/>
      <c r="QZO12" s="5"/>
      <c r="QZQ12" s="6"/>
      <c r="QZR12" s="5"/>
      <c r="QZV12" s="5"/>
      <c r="QZW12" s="5"/>
      <c r="QZY12" s="6"/>
      <c r="QZZ12" s="5"/>
      <c r="RAD12" s="5"/>
      <c r="RAE12" s="5"/>
      <c r="RAG12" s="6"/>
      <c r="RAH12" s="5"/>
      <c r="RAL12" s="5"/>
      <c r="RAM12" s="5"/>
      <c r="RAO12" s="6"/>
      <c r="RAP12" s="5"/>
      <c r="RAT12" s="5"/>
      <c r="RAU12" s="5"/>
      <c r="RAW12" s="6"/>
      <c r="RAX12" s="5"/>
      <c r="RBB12" s="5"/>
      <c r="RBC12" s="5"/>
      <c r="RBE12" s="6"/>
      <c r="RBF12" s="5"/>
      <c r="RBJ12" s="5"/>
      <c r="RBK12" s="5"/>
      <c r="RBM12" s="6"/>
      <c r="RBN12" s="5"/>
      <c r="RBR12" s="5"/>
      <c r="RBS12" s="5"/>
      <c r="RBU12" s="6"/>
      <c r="RBV12" s="5"/>
      <c r="RBZ12" s="5"/>
      <c r="RCA12" s="5"/>
      <c r="RCC12" s="6"/>
      <c r="RCD12" s="5"/>
      <c r="RCH12" s="5"/>
      <c r="RCI12" s="5"/>
      <c r="RCK12" s="6"/>
      <c r="RCL12" s="5"/>
      <c r="RCP12" s="5"/>
      <c r="RCQ12" s="5"/>
      <c r="RCS12" s="6"/>
      <c r="RCT12" s="5"/>
      <c r="RCX12" s="5"/>
      <c r="RCY12" s="5"/>
      <c r="RDA12" s="6"/>
      <c r="RDB12" s="5"/>
      <c r="RDF12" s="5"/>
      <c r="RDG12" s="5"/>
      <c r="RDI12" s="6"/>
      <c r="RDJ12" s="5"/>
      <c r="RDN12" s="5"/>
      <c r="RDO12" s="5"/>
      <c r="RDQ12" s="6"/>
      <c r="RDR12" s="5"/>
      <c r="RDV12" s="5"/>
      <c r="RDW12" s="5"/>
      <c r="RDY12" s="6"/>
      <c r="RDZ12" s="5"/>
      <c r="RED12" s="5"/>
      <c r="REE12" s="5"/>
      <c r="REG12" s="6"/>
      <c r="REH12" s="5"/>
      <c r="REL12" s="5"/>
      <c r="REM12" s="5"/>
      <c r="REO12" s="6"/>
      <c r="REP12" s="5"/>
      <c r="RET12" s="5"/>
      <c r="REU12" s="5"/>
      <c r="REW12" s="6"/>
      <c r="REX12" s="5"/>
      <c r="RFB12" s="5"/>
      <c r="RFC12" s="5"/>
      <c r="RFE12" s="6"/>
      <c r="RFF12" s="5"/>
      <c r="RFJ12" s="5"/>
      <c r="RFK12" s="5"/>
      <c r="RFM12" s="6"/>
      <c r="RFN12" s="5"/>
      <c r="RFR12" s="5"/>
      <c r="RFS12" s="5"/>
      <c r="RFU12" s="6"/>
      <c r="RFV12" s="5"/>
      <c r="RFZ12" s="5"/>
      <c r="RGA12" s="5"/>
      <c r="RGC12" s="6"/>
      <c r="RGD12" s="5"/>
      <c r="RGH12" s="5"/>
      <c r="RGI12" s="5"/>
      <c r="RGK12" s="6"/>
      <c r="RGL12" s="5"/>
      <c r="RGP12" s="5"/>
      <c r="RGQ12" s="5"/>
      <c r="RGS12" s="6"/>
      <c r="RGT12" s="5"/>
      <c r="RGX12" s="5"/>
      <c r="RGY12" s="5"/>
      <c r="RHA12" s="6"/>
      <c r="RHB12" s="5"/>
      <c r="RHF12" s="5"/>
      <c r="RHG12" s="5"/>
      <c r="RHI12" s="6"/>
      <c r="RHJ12" s="5"/>
      <c r="RHN12" s="5"/>
      <c r="RHO12" s="5"/>
      <c r="RHQ12" s="6"/>
      <c r="RHR12" s="5"/>
      <c r="RHV12" s="5"/>
      <c r="RHW12" s="5"/>
      <c r="RHY12" s="6"/>
      <c r="RHZ12" s="5"/>
      <c r="RID12" s="5"/>
      <c r="RIE12" s="5"/>
      <c r="RIG12" s="6"/>
      <c r="RIH12" s="5"/>
      <c r="RIL12" s="5"/>
      <c r="RIM12" s="5"/>
      <c r="RIO12" s="6"/>
      <c r="RIP12" s="5"/>
      <c r="RIT12" s="5"/>
      <c r="RIU12" s="5"/>
      <c r="RIW12" s="6"/>
      <c r="RIX12" s="5"/>
      <c r="RJB12" s="5"/>
      <c r="RJC12" s="5"/>
      <c r="RJE12" s="6"/>
      <c r="RJF12" s="5"/>
      <c r="RJJ12" s="5"/>
      <c r="RJK12" s="5"/>
      <c r="RJM12" s="6"/>
      <c r="RJN12" s="5"/>
      <c r="RJR12" s="5"/>
      <c r="RJS12" s="5"/>
      <c r="RJU12" s="6"/>
      <c r="RJV12" s="5"/>
      <c r="RJZ12" s="5"/>
      <c r="RKA12" s="5"/>
      <c r="RKC12" s="6"/>
      <c r="RKD12" s="5"/>
      <c r="RKH12" s="5"/>
      <c r="RKI12" s="5"/>
      <c r="RKK12" s="6"/>
      <c r="RKL12" s="5"/>
      <c r="RKP12" s="5"/>
      <c r="RKQ12" s="5"/>
      <c r="RKS12" s="6"/>
      <c r="RKT12" s="5"/>
      <c r="RKX12" s="5"/>
      <c r="RKY12" s="5"/>
      <c r="RLA12" s="6"/>
      <c r="RLB12" s="5"/>
      <c r="RLF12" s="5"/>
      <c r="RLG12" s="5"/>
      <c r="RLI12" s="6"/>
      <c r="RLJ12" s="5"/>
      <c r="RLN12" s="5"/>
      <c r="RLO12" s="5"/>
      <c r="RLQ12" s="6"/>
      <c r="RLR12" s="5"/>
      <c r="RLV12" s="5"/>
      <c r="RLW12" s="5"/>
      <c r="RLY12" s="6"/>
      <c r="RLZ12" s="5"/>
      <c r="RMD12" s="5"/>
      <c r="RME12" s="5"/>
      <c r="RMG12" s="6"/>
      <c r="RMH12" s="5"/>
      <c r="RML12" s="5"/>
      <c r="RMM12" s="5"/>
      <c r="RMO12" s="6"/>
      <c r="RMP12" s="5"/>
      <c r="RMT12" s="5"/>
      <c r="RMU12" s="5"/>
      <c r="RMW12" s="6"/>
      <c r="RMX12" s="5"/>
      <c r="RNB12" s="5"/>
      <c r="RNC12" s="5"/>
      <c r="RNE12" s="6"/>
      <c r="RNF12" s="5"/>
      <c r="RNJ12" s="5"/>
      <c r="RNK12" s="5"/>
      <c r="RNM12" s="6"/>
      <c r="RNN12" s="5"/>
      <c r="RNR12" s="5"/>
      <c r="RNS12" s="5"/>
      <c r="RNU12" s="6"/>
      <c r="RNV12" s="5"/>
      <c r="RNZ12" s="5"/>
      <c r="ROA12" s="5"/>
      <c r="ROC12" s="6"/>
      <c r="ROD12" s="5"/>
      <c r="ROH12" s="5"/>
      <c r="ROI12" s="5"/>
      <c r="ROK12" s="6"/>
      <c r="ROL12" s="5"/>
      <c r="ROP12" s="5"/>
      <c r="ROQ12" s="5"/>
      <c r="ROS12" s="6"/>
      <c r="ROT12" s="5"/>
      <c r="ROX12" s="5"/>
      <c r="ROY12" s="5"/>
      <c r="RPA12" s="6"/>
      <c r="RPB12" s="5"/>
      <c r="RPF12" s="5"/>
      <c r="RPG12" s="5"/>
      <c r="RPI12" s="6"/>
      <c r="RPJ12" s="5"/>
      <c r="RPN12" s="5"/>
      <c r="RPO12" s="5"/>
      <c r="RPQ12" s="6"/>
      <c r="RPR12" s="5"/>
      <c r="RPV12" s="5"/>
      <c r="RPW12" s="5"/>
      <c r="RPY12" s="6"/>
      <c r="RPZ12" s="5"/>
      <c r="RQD12" s="5"/>
      <c r="RQE12" s="5"/>
      <c r="RQG12" s="6"/>
      <c r="RQH12" s="5"/>
      <c r="RQL12" s="5"/>
      <c r="RQM12" s="5"/>
      <c r="RQO12" s="6"/>
      <c r="RQP12" s="5"/>
      <c r="RQT12" s="5"/>
      <c r="RQU12" s="5"/>
      <c r="RQW12" s="6"/>
      <c r="RQX12" s="5"/>
      <c r="RRB12" s="5"/>
      <c r="RRC12" s="5"/>
      <c r="RRE12" s="6"/>
      <c r="RRF12" s="5"/>
      <c r="RRJ12" s="5"/>
      <c r="RRK12" s="5"/>
      <c r="RRM12" s="6"/>
      <c r="RRN12" s="5"/>
      <c r="RRR12" s="5"/>
      <c r="RRS12" s="5"/>
      <c r="RRU12" s="6"/>
      <c r="RRV12" s="5"/>
      <c r="RRZ12" s="5"/>
      <c r="RSA12" s="5"/>
      <c r="RSC12" s="6"/>
      <c r="RSD12" s="5"/>
      <c r="RSH12" s="5"/>
      <c r="RSI12" s="5"/>
      <c r="RSK12" s="6"/>
      <c r="RSL12" s="5"/>
      <c r="RSP12" s="5"/>
      <c r="RSQ12" s="5"/>
      <c r="RSS12" s="6"/>
      <c r="RST12" s="5"/>
      <c r="RSX12" s="5"/>
      <c r="RSY12" s="5"/>
      <c r="RTA12" s="6"/>
      <c r="RTB12" s="5"/>
      <c r="RTF12" s="5"/>
      <c r="RTG12" s="5"/>
      <c r="RTI12" s="6"/>
      <c r="RTJ12" s="5"/>
      <c r="RTN12" s="5"/>
      <c r="RTO12" s="5"/>
      <c r="RTQ12" s="6"/>
      <c r="RTR12" s="5"/>
      <c r="RTV12" s="5"/>
      <c r="RTW12" s="5"/>
      <c r="RTY12" s="6"/>
      <c r="RTZ12" s="5"/>
      <c r="RUD12" s="5"/>
      <c r="RUE12" s="5"/>
      <c r="RUG12" s="6"/>
      <c r="RUH12" s="5"/>
      <c r="RUL12" s="5"/>
      <c r="RUM12" s="5"/>
      <c r="RUO12" s="6"/>
      <c r="RUP12" s="5"/>
      <c r="RUT12" s="5"/>
      <c r="RUU12" s="5"/>
      <c r="RUW12" s="6"/>
      <c r="RUX12" s="5"/>
      <c r="RVB12" s="5"/>
      <c r="RVC12" s="5"/>
      <c r="RVE12" s="6"/>
      <c r="RVF12" s="5"/>
      <c r="RVJ12" s="5"/>
      <c r="RVK12" s="5"/>
      <c r="RVM12" s="6"/>
      <c r="RVN12" s="5"/>
      <c r="RVR12" s="5"/>
      <c r="RVS12" s="5"/>
      <c r="RVU12" s="6"/>
      <c r="RVV12" s="5"/>
      <c r="RVZ12" s="5"/>
      <c r="RWA12" s="5"/>
      <c r="RWC12" s="6"/>
      <c r="RWD12" s="5"/>
      <c r="RWH12" s="5"/>
      <c r="RWI12" s="5"/>
      <c r="RWK12" s="6"/>
      <c r="RWL12" s="5"/>
      <c r="RWP12" s="5"/>
      <c r="RWQ12" s="5"/>
      <c r="RWS12" s="6"/>
      <c r="RWT12" s="5"/>
      <c r="RWX12" s="5"/>
      <c r="RWY12" s="5"/>
      <c r="RXA12" s="6"/>
      <c r="RXB12" s="5"/>
      <c r="RXF12" s="5"/>
      <c r="RXG12" s="5"/>
      <c r="RXI12" s="6"/>
      <c r="RXJ12" s="5"/>
      <c r="RXN12" s="5"/>
      <c r="RXO12" s="5"/>
      <c r="RXQ12" s="6"/>
      <c r="RXR12" s="5"/>
      <c r="RXV12" s="5"/>
      <c r="RXW12" s="5"/>
      <c r="RXY12" s="6"/>
      <c r="RXZ12" s="5"/>
      <c r="RYD12" s="5"/>
      <c r="RYE12" s="5"/>
      <c r="RYG12" s="6"/>
      <c r="RYH12" s="5"/>
      <c r="RYL12" s="5"/>
      <c r="RYM12" s="5"/>
      <c r="RYO12" s="6"/>
      <c r="RYP12" s="5"/>
      <c r="RYT12" s="5"/>
      <c r="RYU12" s="5"/>
      <c r="RYW12" s="6"/>
      <c r="RYX12" s="5"/>
      <c r="RZB12" s="5"/>
      <c r="RZC12" s="5"/>
      <c r="RZE12" s="6"/>
      <c r="RZF12" s="5"/>
      <c r="RZJ12" s="5"/>
      <c r="RZK12" s="5"/>
      <c r="RZM12" s="6"/>
      <c r="RZN12" s="5"/>
      <c r="RZR12" s="5"/>
      <c r="RZS12" s="5"/>
      <c r="RZU12" s="6"/>
      <c r="RZV12" s="5"/>
      <c r="RZZ12" s="5"/>
      <c r="SAA12" s="5"/>
      <c r="SAC12" s="6"/>
      <c r="SAD12" s="5"/>
      <c r="SAH12" s="5"/>
      <c r="SAI12" s="5"/>
      <c r="SAK12" s="6"/>
      <c r="SAL12" s="5"/>
      <c r="SAP12" s="5"/>
      <c r="SAQ12" s="5"/>
      <c r="SAS12" s="6"/>
      <c r="SAT12" s="5"/>
      <c r="SAX12" s="5"/>
      <c r="SAY12" s="5"/>
      <c r="SBA12" s="6"/>
      <c r="SBB12" s="5"/>
      <c r="SBF12" s="5"/>
      <c r="SBG12" s="5"/>
      <c r="SBI12" s="6"/>
      <c r="SBJ12" s="5"/>
      <c r="SBN12" s="5"/>
      <c r="SBO12" s="5"/>
      <c r="SBQ12" s="6"/>
      <c r="SBR12" s="5"/>
      <c r="SBV12" s="5"/>
      <c r="SBW12" s="5"/>
      <c r="SBY12" s="6"/>
      <c r="SBZ12" s="5"/>
      <c r="SCD12" s="5"/>
      <c r="SCE12" s="5"/>
      <c r="SCG12" s="6"/>
      <c r="SCH12" s="5"/>
      <c r="SCL12" s="5"/>
      <c r="SCM12" s="5"/>
      <c r="SCO12" s="6"/>
      <c r="SCP12" s="5"/>
      <c r="SCT12" s="5"/>
      <c r="SCU12" s="5"/>
      <c r="SCW12" s="6"/>
      <c r="SCX12" s="5"/>
      <c r="SDB12" s="5"/>
      <c r="SDC12" s="5"/>
      <c r="SDE12" s="6"/>
      <c r="SDF12" s="5"/>
      <c r="SDJ12" s="5"/>
      <c r="SDK12" s="5"/>
      <c r="SDM12" s="6"/>
      <c r="SDN12" s="5"/>
      <c r="SDR12" s="5"/>
      <c r="SDS12" s="5"/>
      <c r="SDU12" s="6"/>
      <c r="SDV12" s="5"/>
      <c r="SDZ12" s="5"/>
      <c r="SEA12" s="5"/>
      <c r="SEC12" s="6"/>
      <c r="SED12" s="5"/>
      <c r="SEH12" s="5"/>
      <c r="SEI12" s="5"/>
      <c r="SEK12" s="6"/>
      <c r="SEL12" s="5"/>
      <c r="SEP12" s="5"/>
      <c r="SEQ12" s="5"/>
      <c r="SES12" s="6"/>
      <c r="SET12" s="5"/>
      <c r="SEX12" s="5"/>
      <c r="SEY12" s="5"/>
      <c r="SFA12" s="6"/>
      <c r="SFB12" s="5"/>
      <c r="SFF12" s="5"/>
      <c r="SFG12" s="5"/>
      <c r="SFI12" s="6"/>
      <c r="SFJ12" s="5"/>
      <c r="SFN12" s="5"/>
      <c r="SFO12" s="5"/>
      <c r="SFQ12" s="6"/>
      <c r="SFR12" s="5"/>
      <c r="SFV12" s="5"/>
      <c r="SFW12" s="5"/>
      <c r="SFY12" s="6"/>
      <c r="SFZ12" s="5"/>
      <c r="SGD12" s="5"/>
      <c r="SGE12" s="5"/>
      <c r="SGG12" s="6"/>
      <c r="SGH12" s="5"/>
      <c r="SGL12" s="5"/>
      <c r="SGM12" s="5"/>
      <c r="SGO12" s="6"/>
      <c r="SGP12" s="5"/>
      <c r="SGT12" s="5"/>
      <c r="SGU12" s="5"/>
      <c r="SGW12" s="6"/>
      <c r="SGX12" s="5"/>
      <c r="SHB12" s="5"/>
      <c r="SHC12" s="5"/>
      <c r="SHE12" s="6"/>
      <c r="SHF12" s="5"/>
      <c r="SHJ12" s="5"/>
      <c r="SHK12" s="5"/>
      <c r="SHM12" s="6"/>
      <c r="SHN12" s="5"/>
      <c r="SHR12" s="5"/>
      <c r="SHS12" s="5"/>
      <c r="SHU12" s="6"/>
      <c r="SHV12" s="5"/>
      <c r="SHZ12" s="5"/>
      <c r="SIA12" s="5"/>
      <c r="SIC12" s="6"/>
      <c r="SID12" s="5"/>
      <c r="SIH12" s="5"/>
      <c r="SII12" s="5"/>
      <c r="SIK12" s="6"/>
      <c r="SIL12" s="5"/>
      <c r="SIP12" s="5"/>
      <c r="SIQ12" s="5"/>
      <c r="SIS12" s="6"/>
      <c r="SIT12" s="5"/>
      <c r="SIX12" s="5"/>
      <c r="SIY12" s="5"/>
      <c r="SJA12" s="6"/>
      <c r="SJB12" s="5"/>
      <c r="SJF12" s="5"/>
      <c r="SJG12" s="5"/>
      <c r="SJI12" s="6"/>
      <c r="SJJ12" s="5"/>
      <c r="SJN12" s="5"/>
      <c r="SJO12" s="5"/>
      <c r="SJQ12" s="6"/>
      <c r="SJR12" s="5"/>
      <c r="SJV12" s="5"/>
      <c r="SJW12" s="5"/>
      <c r="SJY12" s="6"/>
      <c r="SJZ12" s="5"/>
      <c r="SKD12" s="5"/>
      <c r="SKE12" s="5"/>
      <c r="SKG12" s="6"/>
      <c r="SKH12" s="5"/>
      <c r="SKL12" s="5"/>
      <c r="SKM12" s="5"/>
      <c r="SKO12" s="6"/>
      <c r="SKP12" s="5"/>
      <c r="SKT12" s="5"/>
      <c r="SKU12" s="5"/>
      <c r="SKW12" s="6"/>
      <c r="SKX12" s="5"/>
      <c r="SLB12" s="5"/>
      <c r="SLC12" s="5"/>
      <c r="SLE12" s="6"/>
      <c r="SLF12" s="5"/>
      <c r="SLJ12" s="5"/>
      <c r="SLK12" s="5"/>
      <c r="SLM12" s="6"/>
      <c r="SLN12" s="5"/>
      <c r="SLR12" s="5"/>
      <c r="SLS12" s="5"/>
      <c r="SLU12" s="6"/>
      <c r="SLV12" s="5"/>
      <c r="SLZ12" s="5"/>
      <c r="SMA12" s="5"/>
      <c r="SMC12" s="6"/>
      <c r="SMD12" s="5"/>
      <c r="SMH12" s="5"/>
      <c r="SMI12" s="5"/>
      <c r="SMK12" s="6"/>
      <c r="SML12" s="5"/>
      <c r="SMP12" s="5"/>
      <c r="SMQ12" s="5"/>
      <c r="SMS12" s="6"/>
      <c r="SMT12" s="5"/>
      <c r="SMX12" s="5"/>
      <c r="SMY12" s="5"/>
      <c r="SNA12" s="6"/>
      <c r="SNB12" s="5"/>
      <c r="SNF12" s="5"/>
      <c r="SNG12" s="5"/>
      <c r="SNI12" s="6"/>
      <c r="SNJ12" s="5"/>
      <c r="SNN12" s="5"/>
      <c r="SNO12" s="5"/>
      <c r="SNQ12" s="6"/>
      <c r="SNR12" s="5"/>
      <c r="SNV12" s="5"/>
      <c r="SNW12" s="5"/>
      <c r="SNY12" s="6"/>
      <c r="SNZ12" s="5"/>
      <c r="SOD12" s="5"/>
      <c r="SOE12" s="5"/>
      <c r="SOG12" s="6"/>
      <c r="SOH12" s="5"/>
      <c r="SOL12" s="5"/>
      <c r="SOM12" s="5"/>
      <c r="SOO12" s="6"/>
      <c r="SOP12" s="5"/>
      <c r="SOT12" s="5"/>
      <c r="SOU12" s="5"/>
      <c r="SOW12" s="6"/>
      <c r="SOX12" s="5"/>
      <c r="SPB12" s="5"/>
      <c r="SPC12" s="5"/>
      <c r="SPE12" s="6"/>
      <c r="SPF12" s="5"/>
      <c r="SPJ12" s="5"/>
      <c r="SPK12" s="5"/>
      <c r="SPM12" s="6"/>
      <c r="SPN12" s="5"/>
      <c r="SPR12" s="5"/>
      <c r="SPS12" s="5"/>
      <c r="SPU12" s="6"/>
      <c r="SPV12" s="5"/>
      <c r="SPZ12" s="5"/>
      <c r="SQA12" s="5"/>
      <c r="SQC12" s="6"/>
      <c r="SQD12" s="5"/>
      <c r="SQH12" s="5"/>
      <c r="SQI12" s="5"/>
      <c r="SQK12" s="6"/>
      <c r="SQL12" s="5"/>
      <c r="SQP12" s="5"/>
      <c r="SQQ12" s="5"/>
      <c r="SQS12" s="6"/>
      <c r="SQT12" s="5"/>
      <c r="SQX12" s="5"/>
      <c r="SQY12" s="5"/>
      <c r="SRA12" s="6"/>
      <c r="SRB12" s="5"/>
      <c r="SRF12" s="5"/>
      <c r="SRG12" s="5"/>
      <c r="SRI12" s="6"/>
      <c r="SRJ12" s="5"/>
      <c r="SRN12" s="5"/>
      <c r="SRO12" s="5"/>
      <c r="SRQ12" s="6"/>
      <c r="SRR12" s="5"/>
      <c r="SRV12" s="5"/>
      <c r="SRW12" s="5"/>
      <c r="SRY12" s="6"/>
      <c r="SRZ12" s="5"/>
      <c r="SSD12" s="5"/>
      <c r="SSE12" s="5"/>
      <c r="SSG12" s="6"/>
      <c r="SSH12" s="5"/>
      <c r="SSL12" s="5"/>
      <c r="SSM12" s="5"/>
      <c r="SSO12" s="6"/>
      <c r="SSP12" s="5"/>
      <c r="SST12" s="5"/>
      <c r="SSU12" s="5"/>
      <c r="SSW12" s="6"/>
      <c r="SSX12" s="5"/>
      <c r="STB12" s="5"/>
      <c r="STC12" s="5"/>
      <c r="STE12" s="6"/>
      <c r="STF12" s="5"/>
      <c r="STJ12" s="5"/>
      <c r="STK12" s="5"/>
      <c r="STM12" s="6"/>
      <c r="STN12" s="5"/>
      <c r="STR12" s="5"/>
      <c r="STS12" s="5"/>
      <c r="STU12" s="6"/>
      <c r="STV12" s="5"/>
      <c r="STZ12" s="5"/>
      <c r="SUA12" s="5"/>
      <c r="SUC12" s="6"/>
      <c r="SUD12" s="5"/>
      <c r="SUH12" s="5"/>
      <c r="SUI12" s="5"/>
      <c r="SUK12" s="6"/>
      <c r="SUL12" s="5"/>
      <c r="SUP12" s="5"/>
      <c r="SUQ12" s="5"/>
      <c r="SUS12" s="6"/>
      <c r="SUT12" s="5"/>
      <c r="SUX12" s="5"/>
      <c r="SUY12" s="5"/>
      <c r="SVA12" s="6"/>
      <c r="SVB12" s="5"/>
      <c r="SVF12" s="5"/>
      <c r="SVG12" s="5"/>
      <c r="SVI12" s="6"/>
      <c r="SVJ12" s="5"/>
      <c r="SVN12" s="5"/>
      <c r="SVO12" s="5"/>
      <c r="SVQ12" s="6"/>
      <c r="SVR12" s="5"/>
      <c r="SVV12" s="5"/>
      <c r="SVW12" s="5"/>
      <c r="SVY12" s="6"/>
      <c r="SVZ12" s="5"/>
      <c r="SWD12" s="5"/>
      <c r="SWE12" s="5"/>
      <c r="SWG12" s="6"/>
      <c r="SWH12" s="5"/>
      <c r="SWL12" s="5"/>
      <c r="SWM12" s="5"/>
      <c r="SWO12" s="6"/>
      <c r="SWP12" s="5"/>
      <c r="SWT12" s="5"/>
      <c r="SWU12" s="5"/>
      <c r="SWW12" s="6"/>
      <c r="SWX12" s="5"/>
      <c r="SXB12" s="5"/>
      <c r="SXC12" s="5"/>
      <c r="SXE12" s="6"/>
      <c r="SXF12" s="5"/>
      <c r="SXJ12" s="5"/>
      <c r="SXK12" s="5"/>
      <c r="SXM12" s="6"/>
      <c r="SXN12" s="5"/>
      <c r="SXR12" s="5"/>
      <c r="SXS12" s="5"/>
      <c r="SXU12" s="6"/>
      <c r="SXV12" s="5"/>
      <c r="SXZ12" s="5"/>
      <c r="SYA12" s="5"/>
      <c r="SYC12" s="6"/>
      <c r="SYD12" s="5"/>
      <c r="SYH12" s="5"/>
      <c r="SYI12" s="5"/>
      <c r="SYK12" s="6"/>
      <c r="SYL12" s="5"/>
      <c r="SYP12" s="5"/>
      <c r="SYQ12" s="5"/>
      <c r="SYS12" s="6"/>
      <c r="SYT12" s="5"/>
      <c r="SYX12" s="5"/>
      <c r="SYY12" s="5"/>
      <c r="SZA12" s="6"/>
      <c r="SZB12" s="5"/>
      <c r="SZF12" s="5"/>
      <c r="SZG12" s="5"/>
      <c r="SZI12" s="6"/>
      <c r="SZJ12" s="5"/>
      <c r="SZN12" s="5"/>
      <c r="SZO12" s="5"/>
      <c r="SZQ12" s="6"/>
      <c r="SZR12" s="5"/>
      <c r="SZV12" s="5"/>
      <c r="SZW12" s="5"/>
      <c r="SZY12" s="6"/>
      <c r="SZZ12" s="5"/>
      <c r="TAD12" s="5"/>
      <c r="TAE12" s="5"/>
      <c r="TAG12" s="6"/>
      <c r="TAH12" s="5"/>
      <c r="TAL12" s="5"/>
      <c r="TAM12" s="5"/>
      <c r="TAO12" s="6"/>
      <c r="TAP12" s="5"/>
      <c r="TAT12" s="5"/>
      <c r="TAU12" s="5"/>
      <c r="TAW12" s="6"/>
      <c r="TAX12" s="5"/>
      <c r="TBB12" s="5"/>
      <c r="TBC12" s="5"/>
      <c r="TBE12" s="6"/>
      <c r="TBF12" s="5"/>
      <c r="TBJ12" s="5"/>
      <c r="TBK12" s="5"/>
      <c r="TBM12" s="6"/>
      <c r="TBN12" s="5"/>
      <c r="TBR12" s="5"/>
      <c r="TBS12" s="5"/>
      <c r="TBU12" s="6"/>
      <c r="TBV12" s="5"/>
      <c r="TBZ12" s="5"/>
      <c r="TCA12" s="5"/>
      <c r="TCC12" s="6"/>
      <c r="TCD12" s="5"/>
      <c r="TCH12" s="5"/>
      <c r="TCI12" s="5"/>
      <c r="TCK12" s="6"/>
      <c r="TCL12" s="5"/>
      <c r="TCP12" s="5"/>
      <c r="TCQ12" s="5"/>
      <c r="TCS12" s="6"/>
      <c r="TCT12" s="5"/>
      <c r="TCX12" s="5"/>
      <c r="TCY12" s="5"/>
      <c r="TDA12" s="6"/>
      <c r="TDB12" s="5"/>
      <c r="TDF12" s="5"/>
      <c r="TDG12" s="5"/>
      <c r="TDI12" s="6"/>
      <c r="TDJ12" s="5"/>
      <c r="TDN12" s="5"/>
      <c r="TDO12" s="5"/>
      <c r="TDQ12" s="6"/>
      <c r="TDR12" s="5"/>
      <c r="TDV12" s="5"/>
      <c r="TDW12" s="5"/>
      <c r="TDY12" s="6"/>
      <c r="TDZ12" s="5"/>
      <c r="TED12" s="5"/>
      <c r="TEE12" s="5"/>
      <c r="TEG12" s="6"/>
      <c r="TEH12" s="5"/>
      <c r="TEL12" s="5"/>
      <c r="TEM12" s="5"/>
      <c r="TEO12" s="6"/>
      <c r="TEP12" s="5"/>
      <c r="TET12" s="5"/>
      <c r="TEU12" s="5"/>
      <c r="TEW12" s="6"/>
      <c r="TEX12" s="5"/>
      <c r="TFB12" s="5"/>
      <c r="TFC12" s="5"/>
      <c r="TFE12" s="6"/>
      <c r="TFF12" s="5"/>
      <c r="TFJ12" s="5"/>
      <c r="TFK12" s="5"/>
      <c r="TFM12" s="6"/>
      <c r="TFN12" s="5"/>
      <c r="TFR12" s="5"/>
      <c r="TFS12" s="5"/>
      <c r="TFU12" s="6"/>
      <c r="TFV12" s="5"/>
      <c r="TFZ12" s="5"/>
      <c r="TGA12" s="5"/>
      <c r="TGC12" s="6"/>
      <c r="TGD12" s="5"/>
      <c r="TGH12" s="5"/>
      <c r="TGI12" s="5"/>
      <c r="TGK12" s="6"/>
      <c r="TGL12" s="5"/>
      <c r="TGP12" s="5"/>
      <c r="TGQ12" s="5"/>
      <c r="TGS12" s="6"/>
      <c r="TGT12" s="5"/>
      <c r="TGX12" s="5"/>
      <c r="TGY12" s="5"/>
      <c r="THA12" s="6"/>
      <c r="THB12" s="5"/>
      <c r="THF12" s="5"/>
      <c r="THG12" s="5"/>
      <c r="THI12" s="6"/>
      <c r="THJ12" s="5"/>
      <c r="THN12" s="5"/>
      <c r="THO12" s="5"/>
      <c r="THQ12" s="6"/>
      <c r="THR12" s="5"/>
      <c r="THV12" s="5"/>
      <c r="THW12" s="5"/>
      <c r="THY12" s="6"/>
      <c r="THZ12" s="5"/>
      <c r="TID12" s="5"/>
      <c r="TIE12" s="5"/>
      <c r="TIG12" s="6"/>
      <c r="TIH12" s="5"/>
      <c r="TIL12" s="5"/>
      <c r="TIM12" s="5"/>
      <c r="TIO12" s="6"/>
      <c r="TIP12" s="5"/>
      <c r="TIT12" s="5"/>
      <c r="TIU12" s="5"/>
      <c r="TIW12" s="6"/>
      <c r="TIX12" s="5"/>
      <c r="TJB12" s="5"/>
      <c r="TJC12" s="5"/>
      <c r="TJE12" s="6"/>
      <c r="TJF12" s="5"/>
      <c r="TJJ12" s="5"/>
      <c r="TJK12" s="5"/>
      <c r="TJM12" s="6"/>
      <c r="TJN12" s="5"/>
      <c r="TJR12" s="5"/>
      <c r="TJS12" s="5"/>
      <c r="TJU12" s="6"/>
      <c r="TJV12" s="5"/>
      <c r="TJZ12" s="5"/>
      <c r="TKA12" s="5"/>
      <c r="TKC12" s="6"/>
      <c r="TKD12" s="5"/>
      <c r="TKH12" s="5"/>
      <c r="TKI12" s="5"/>
      <c r="TKK12" s="6"/>
      <c r="TKL12" s="5"/>
      <c r="TKP12" s="5"/>
      <c r="TKQ12" s="5"/>
      <c r="TKS12" s="6"/>
      <c r="TKT12" s="5"/>
      <c r="TKX12" s="5"/>
      <c r="TKY12" s="5"/>
      <c r="TLA12" s="6"/>
      <c r="TLB12" s="5"/>
      <c r="TLF12" s="5"/>
      <c r="TLG12" s="5"/>
      <c r="TLI12" s="6"/>
      <c r="TLJ12" s="5"/>
      <c r="TLN12" s="5"/>
      <c r="TLO12" s="5"/>
      <c r="TLQ12" s="6"/>
      <c r="TLR12" s="5"/>
      <c r="TLV12" s="5"/>
      <c r="TLW12" s="5"/>
      <c r="TLY12" s="6"/>
      <c r="TLZ12" s="5"/>
      <c r="TMD12" s="5"/>
      <c r="TME12" s="5"/>
      <c r="TMG12" s="6"/>
      <c r="TMH12" s="5"/>
      <c r="TML12" s="5"/>
      <c r="TMM12" s="5"/>
      <c r="TMO12" s="6"/>
      <c r="TMP12" s="5"/>
      <c r="TMT12" s="5"/>
      <c r="TMU12" s="5"/>
      <c r="TMW12" s="6"/>
      <c r="TMX12" s="5"/>
      <c r="TNB12" s="5"/>
      <c r="TNC12" s="5"/>
      <c r="TNE12" s="6"/>
      <c r="TNF12" s="5"/>
      <c r="TNJ12" s="5"/>
      <c r="TNK12" s="5"/>
      <c r="TNM12" s="6"/>
      <c r="TNN12" s="5"/>
      <c r="TNR12" s="5"/>
      <c r="TNS12" s="5"/>
      <c r="TNU12" s="6"/>
      <c r="TNV12" s="5"/>
      <c r="TNZ12" s="5"/>
      <c r="TOA12" s="5"/>
      <c r="TOC12" s="6"/>
      <c r="TOD12" s="5"/>
      <c r="TOH12" s="5"/>
      <c r="TOI12" s="5"/>
      <c r="TOK12" s="6"/>
      <c r="TOL12" s="5"/>
      <c r="TOP12" s="5"/>
      <c r="TOQ12" s="5"/>
      <c r="TOS12" s="6"/>
      <c r="TOT12" s="5"/>
      <c r="TOX12" s="5"/>
      <c r="TOY12" s="5"/>
      <c r="TPA12" s="6"/>
      <c r="TPB12" s="5"/>
      <c r="TPF12" s="5"/>
      <c r="TPG12" s="5"/>
      <c r="TPI12" s="6"/>
      <c r="TPJ12" s="5"/>
      <c r="TPN12" s="5"/>
      <c r="TPO12" s="5"/>
      <c r="TPQ12" s="6"/>
      <c r="TPR12" s="5"/>
      <c r="TPV12" s="5"/>
      <c r="TPW12" s="5"/>
      <c r="TPY12" s="6"/>
      <c r="TPZ12" s="5"/>
      <c r="TQD12" s="5"/>
      <c r="TQE12" s="5"/>
      <c r="TQG12" s="6"/>
      <c r="TQH12" s="5"/>
      <c r="TQL12" s="5"/>
      <c r="TQM12" s="5"/>
      <c r="TQO12" s="6"/>
      <c r="TQP12" s="5"/>
      <c r="TQT12" s="5"/>
      <c r="TQU12" s="5"/>
      <c r="TQW12" s="6"/>
      <c r="TQX12" s="5"/>
      <c r="TRB12" s="5"/>
      <c r="TRC12" s="5"/>
      <c r="TRE12" s="6"/>
      <c r="TRF12" s="5"/>
      <c r="TRJ12" s="5"/>
      <c r="TRK12" s="5"/>
      <c r="TRM12" s="6"/>
      <c r="TRN12" s="5"/>
      <c r="TRR12" s="5"/>
      <c r="TRS12" s="5"/>
      <c r="TRU12" s="6"/>
      <c r="TRV12" s="5"/>
      <c r="TRZ12" s="5"/>
      <c r="TSA12" s="5"/>
      <c r="TSC12" s="6"/>
      <c r="TSD12" s="5"/>
      <c r="TSH12" s="5"/>
      <c r="TSI12" s="5"/>
      <c r="TSK12" s="6"/>
      <c r="TSL12" s="5"/>
      <c r="TSP12" s="5"/>
      <c r="TSQ12" s="5"/>
      <c r="TSS12" s="6"/>
      <c r="TST12" s="5"/>
      <c r="TSX12" s="5"/>
      <c r="TSY12" s="5"/>
      <c r="TTA12" s="6"/>
      <c r="TTB12" s="5"/>
      <c r="TTF12" s="5"/>
      <c r="TTG12" s="5"/>
      <c r="TTI12" s="6"/>
      <c r="TTJ12" s="5"/>
      <c r="TTN12" s="5"/>
      <c r="TTO12" s="5"/>
      <c r="TTQ12" s="6"/>
      <c r="TTR12" s="5"/>
      <c r="TTV12" s="5"/>
      <c r="TTW12" s="5"/>
      <c r="TTY12" s="6"/>
      <c r="TTZ12" s="5"/>
      <c r="TUD12" s="5"/>
      <c r="TUE12" s="5"/>
      <c r="TUG12" s="6"/>
      <c r="TUH12" s="5"/>
      <c r="TUL12" s="5"/>
      <c r="TUM12" s="5"/>
      <c r="TUO12" s="6"/>
      <c r="TUP12" s="5"/>
      <c r="TUT12" s="5"/>
      <c r="TUU12" s="5"/>
      <c r="TUW12" s="6"/>
      <c r="TUX12" s="5"/>
      <c r="TVB12" s="5"/>
      <c r="TVC12" s="5"/>
      <c r="TVE12" s="6"/>
      <c r="TVF12" s="5"/>
      <c r="TVJ12" s="5"/>
      <c r="TVK12" s="5"/>
      <c r="TVM12" s="6"/>
      <c r="TVN12" s="5"/>
      <c r="TVR12" s="5"/>
      <c r="TVS12" s="5"/>
      <c r="TVU12" s="6"/>
      <c r="TVV12" s="5"/>
      <c r="TVZ12" s="5"/>
      <c r="TWA12" s="5"/>
      <c r="TWC12" s="6"/>
      <c r="TWD12" s="5"/>
      <c r="TWH12" s="5"/>
      <c r="TWI12" s="5"/>
      <c r="TWK12" s="6"/>
      <c r="TWL12" s="5"/>
      <c r="TWP12" s="5"/>
      <c r="TWQ12" s="5"/>
      <c r="TWS12" s="6"/>
      <c r="TWT12" s="5"/>
      <c r="TWX12" s="5"/>
      <c r="TWY12" s="5"/>
      <c r="TXA12" s="6"/>
      <c r="TXB12" s="5"/>
      <c r="TXF12" s="5"/>
      <c r="TXG12" s="5"/>
      <c r="TXI12" s="6"/>
      <c r="TXJ12" s="5"/>
      <c r="TXN12" s="5"/>
      <c r="TXO12" s="5"/>
      <c r="TXQ12" s="6"/>
      <c r="TXR12" s="5"/>
      <c r="TXV12" s="5"/>
      <c r="TXW12" s="5"/>
      <c r="TXY12" s="6"/>
      <c r="TXZ12" s="5"/>
      <c r="TYD12" s="5"/>
      <c r="TYE12" s="5"/>
      <c r="TYG12" s="6"/>
      <c r="TYH12" s="5"/>
      <c r="TYL12" s="5"/>
      <c r="TYM12" s="5"/>
      <c r="TYO12" s="6"/>
      <c r="TYP12" s="5"/>
      <c r="TYT12" s="5"/>
      <c r="TYU12" s="5"/>
      <c r="TYW12" s="6"/>
      <c r="TYX12" s="5"/>
      <c r="TZB12" s="5"/>
      <c r="TZC12" s="5"/>
      <c r="TZE12" s="6"/>
      <c r="TZF12" s="5"/>
      <c r="TZJ12" s="5"/>
      <c r="TZK12" s="5"/>
      <c r="TZM12" s="6"/>
      <c r="TZN12" s="5"/>
      <c r="TZR12" s="5"/>
      <c r="TZS12" s="5"/>
      <c r="TZU12" s="6"/>
      <c r="TZV12" s="5"/>
      <c r="TZZ12" s="5"/>
      <c r="UAA12" s="5"/>
      <c r="UAC12" s="6"/>
      <c r="UAD12" s="5"/>
      <c r="UAH12" s="5"/>
      <c r="UAI12" s="5"/>
      <c r="UAK12" s="6"/>
      <c r="UAL12" s="5"/>
      <c r="UAP12" s="5"/>
      <c r="UAQ12" s="5"/>
      <c r="UAS12" s="6"/>
      <c r="UAT12" s="5"/>
      <c r="UAX12" s="5"/>
      <c r="UAY12" s="5"/>
      <c r="UBA12" s="6"/>
      <c r="UBB12" s="5"/>
      <c r="UBF12" s="5"/>
      <c r="UBG12" s="5"/>
      <c r="UBI12" s="6"/>
      <c r="UBJ12" s="5"/>
      <c r="UBN12" s="5"/>
      <c r="UBO12" s="5"/>
      <c r="UBQ12" s="6"/>
      <c r="UBR12" s="5"/>
      <c r="UBV12" s="5"/>
      <c r="UBW12" s="5"/>
      <c r="UBY12" s="6"/>
      <c r="UBZ12" s="5"/>
      <c r="UCD12" s="5"/>
      <c r="UCE12" s="5"/>
      <c r="UCG12" s="6"/>
      <c r="UCH12" s="5"/>
      <c r="UCL12" s="5"/>
      <c r="UCM12" s="5"/>
      <c r="UCO12" s="6"/>
      <c r="UCP12" s="5"/>
      <c r="UCT12" s="5"/>
      <c r="UCU12" s="5"/>
      <c r="UCW12" s="6"/>
      <c r="UCX12" s="5"/>
      <c r="UDB12" s="5"/>
      <c r="UDC12" s="5"/>
      <c r="UDE12" s="6"/>
      <c r="UDF12" s="5"/>
      <c r="UDJ12" s="5"/>
      <c r="UDK12" s="5"/>
      <c r="UDM12" s="6"/>
      <c r="UDN12" s="5"/>
      <c r="UDR12" s="5"/>
      <c r="UDS12" s="5"/>
      <c r="UDU12" s="6"/>
      <c r="UDV12" s="5"/>
      <c r="UDZ12" s="5"/>
      <c r="UEA12" s="5"/>
      <c r="UEC12" s="6"/>
      <c r="UED12" s="5"/>
      <c r="UEH12" s="5"/>
      <c r="UEI12" s="5"/>
      <c r="UEK12" s="6"/>
      <c r="UEL12" s="5"/>
      <c r="UEP12" s="5"/>
      <c r="UEQ12" s="5"/>
      <c r="UES12" s="6"/>
      <c r="UET12" s="5"/>
      <c r="UEX12" s="5"/>
      <c r="UEY12" s="5"/>
      <c r="UFA12" s="6"/>
      <c r="UFB12" s="5"/>
      <c r="UFF12" s="5"/>
      <c r="UFG12" s="5"/>
      <c r="UFI12" s="6"/>
      <c r="UFJ12" s="5"/>
      <c r="UFN12" s="5"/>
      <c r="UFO12" s="5"/>
      <c r="UFQ12" s="6"/>
      <c r="UFR12" s="5"/>
      <c r="UFV12" s="5"/>
      <c r="UFW12" s="5"/>
      <c r="UFY12" s="6"/>
      <c r="UFZ12" s="5"/>
      <c r="UGD12" s="5"/>
      <c r="UGE12" s="5"/>
      <c r="UGG12" s="6"/>
      <c r="UGH12" s="5"/>
      <c r="UGL12" s="5"/>
      <c r="UGM12" s="5"/>
      <c r="UGO12" s="6"/>
      <c r="UGP12" s="5"/>
      <c r="UGT12" s="5"/>
      <c r="UGU12" s="5"/>
      <c r="UGW12" s="6"/>
      <c r="UGX12" s="5"/>
      <c r="UHB12" s="5"/>
      <c r="UHC12" s="5"/>
      <c r="UHE12" s="6"/>
      <c r="UHF12" s="5"/>
      <c r="UHJ12" s="5"/>
      <c r="UHK12" s="5"/>
      <c r="UHM12" s="6"/>
      <c r="UHN12" s="5"/>
      <c r="UHR12" s="5"/>
      <c r="UHS12" s="5"/>
      <c r="UHU12" s="6"/>
      <c r="UHV12" s="5"/>
      <c r="UHZ12" s="5"/>
      <c r="UIA12" s="5"/>
      <c r="UIC12" s="6"/>
      <c r="UID12" s="5"/>
      <c r="UIH12" s="5"/>
      <c r="UII12" s="5"/>
      <c r="UIK12" s="6"/>
      <c r="UIL12" s="5"/>
      <c r="UIP12" s="5"/>
      <c r="UIQ12" s="5"/>
      <c r="UIS12" s="6"/>
      <c r="UIT12" s="5"/>
      <c r="UIX12" s="5"/>
      <c r="UIY12" s="5"/>
      <c r="UJA12" s="6"/>
      <c r="UJB12" s="5"/>
      <c r="UJF12" s="5"/>
      <c r="UJG12" s="5"/>
      <c r="UJI12" s="6"/>
      <c r="UJJ12" s="5"/>
      <c r="UJN12" s="5"/>
      <c r="UJO12" s="5"/>
      <c r="UJQ12" s="6"/>
      <c r="UJR12" s="5"/>
      <c r="UJV12" s="5"/>
      <c r="UJW12" s="5"/>
      <c r="UJY12" s="6"/>
      <c r="UJZ12" s="5"/>
      <c r="UKD12" s="5"/>
      <c r="UKE12" s="5"/>
      <c r="UKG12" s="6"/>
      <c r="UKH12" s="5"/>
      <c r="UKL12" s="5"/>
      <c r="UKM12" s="5"/>
      <c r="UKO12" s="6"/>
      <c r="UKP12" s="5"/>
      <c r="UKT12" s="5"/>
      <c r="UKU12" s="5"/>
      <c r="UKW12" s="6"/>
      <c r="UKX12" s="5"/>
      <c r="ULB12" s="5"/>
      <c r="ULC12" s="5"/>
      <c r="ULE12" s="6"/>
      <c r="ULF12" s="5"/>
      <c r="ULJ12" s="5"/>
      <c r="ULK12" s="5"/>
      <c r="ULM12" s="6"/>
      <c r="ULN12" s="5"/>
      <c r="ULR12" s="5"/>
      <c r="ULS12" s="5"/>
      <c r="ULU12" s="6"/>
      <c r="ULV12" s="5"/>
      <c r="ULZ12" s="5"/>
      <c r="UMA12" s="5"/>
      <c r="UMC12" s="6"/>
      <c r="UMD12" s="5"/>
      <c r="UMH12" s="5"/>
      <c r="UMI12" s="5"/>
      <c r="UMK12" s="6"/>
      <c r="UML12" s="5"/>
      <c r="UMP12" s="5"/>
      <c r="UMQ12" s="5"/>
      <c r="UMS12" s="6"/>
      <c r="UMT12" s="5"/>
      <c r="UMX12" s="5"/>
      <c r="UMY12" s="5"/>
      <c r="UNA12" s="6"/>
      <c r="UNB12" s="5"/>
      <c r="UNF12" s="5"/>
      <c r="UNG12" s="5"/>
      <c r="UNI12" s="6"/>
      <c r="UNJ12" s="5"/>
      <c r="UNN12" s="5"/>
      <c r="UNO12" s="5"/>
      <c r="UNQ12" s="6"/>
      <c r="UNR12" s="5"/>
      <c r="UNV12" s="5"/>
      <c r="UNW12" s="5"/>
      <c r="UNY12" s="6"/>
      <c r="UNZ12" s="5"/>
      <c r="UOD12" s="5"/>
      <c r="UOE12" s="5"/>
      <c r="UOG12" s="6"/>
      <c r="UOH12" s="5"/>
      <c r="UOL12" s="5"/>
      <c r="UOM12" s="5"/>
      <c r="UOO12" s="6"/>
      <c r="UOP12" s="5"/>
      <c r="UOT12" s="5"/>
      <c r="UOU12" s="5"/>
      <c r="UOW12" s="6"/>
      <c r="UOX12" s="5"/>
      <c r="UPB12" s="5"/>
      <c r="UPC12" s="5"/>
      <c r="UPE12" s="6"/>
      <c r="UPF12" s="5"/>
      <c r="UPJ12" s="5"/>
      <c r="UPK12" s="5"/>
      <c r="UPM12" s="6"/>
      <c r="UPN12" s="5"/>
      <c r="UPR12" s="5"/>
      <c r="UPS12" s="5"/>
      <c r="UPU12" s="6"/>
      <c r="UPV12" s="5"/>
      <c r="UPZ12" s="5"/>
      <c r="UQA12" s="5"/>
      <c r="UQC12" s="6"/>
      <c r="UQD12" s="5"/>
      <c r="UQH12" s="5"/>
      <c r="UQI12" s="5"/>
      <c r="UQK12" s="6"/>
      <c r="UQL12" s="5"/>
      <c r="UQP12" s="5"/>
      <c r="UQQ12" s="5"/>
      <c r="UQS12" s="6"/>
      <c r="UQT12" s="5"/>
      <c r="UQX12" s="5"/>
      <c r="UQY12" s="5"/>
      <c r="URA12" s="6"/>
      <c r="URB12" s="5"/>
      <c r="URF12" s="5"/>
      <c r="URG12" s="5"/>
      <c r="URI12" s="6"/>
      <c r="URJ12" s="5"/>
      <c r="URN12" s="5"/>
      <c r="URO12" s="5"/>
      <c r="URQ12" s="6"/>
      <c r="URR12" s="5"/>
      <c r="URV12" s="5"/>
      <c r="URW12" s="5"/>
      <c r="URY12" s="6"/>
      <c r="URZ12" s="5"/>
      <c r="USD12" s="5"/>
      <c r="USE12" s="5"/>
      <c r="USG12" s="6"/>
      <c r="USH12" s="5"/>
      <c r="USL12" s="5"/>
      <c r="USM12" s="5"/>
      <c r="USO12" s="6"/>
      <c r="USP12" s="5"/>
      <c r="UST12" s="5"/>
      <c r="USU12" s="5"/>
      <c r="USW12" s="6"/>
      <c r="USX12" s="5"/>
      <c r="UTB12" s="5"/>
      <c r="UTC12" s="5"/>
      <c r="UTE12" s="6"/>
      <c r="UTF12" s="5"/>
      <c r="UTJ12" s="5"/>
      <c r="UTK12" s="5"/>
      <c r="UTM12" s="6"/>
      <c r="UTN12" s="5"/>
      <c r="UTR12" s="5"/>
      <c r="UTS12" s="5"/>
      <c r="UTU12" s="6"/>
      <c r="UTV12" s="5"/>
      <c r="UTZ12" s="5"/>
      <c r="UUA12" s="5"/>
      <c r="UUC12" s="6"/>
      <c r="UUD12" s="5"/>
      <c r="UUH12" s="5"/>
      <c r="UUI12" s="5"/>
      <c r="UUK12" s="6"/>
      <c r="UUL12" s="5"/>
      <c r="UUP12" s="5"/>
      <c r="UUQ12" s="5"/>
      <c r="UUS12" s="6"/>
      <c r="UUT12" s="5"/>
      <c r="UUX12" s="5"/>
      <c r="UUY12" s="5"/>
      <c r="UVA12" s="6"/>
      <c r="UVB12" s="5"/>
      <c r="UVF12" s="5"/>
      <c r="UVG12" s="5"/>
      <c r="UVI12" s="6"/>
      <c r="UVJ12" s="5"/>
      <c r="UVN12" s="5"/>
      <c r="UVO12" s="5"/>
      <c r="UVQ12" s="6"/>
      <c r="UVR12" s="5"/>
      <c r="UVV12" s="5"/>
      <c r="UVW12" s="5"/>
      <c r="UVY12" s="6"/>
      <c r="UVZ12" s="5"/>
      <c r="UWD12" s="5"/>
      <c r="UWE12" s="5"/>
      <c r="UWG12" s="6"/>
      <c r="UWH12" s="5"/>
      <c r="UWL12" s="5"/>
      <c r="UWM12" s="5"/>
      <c r="UWO12" s="6"/>
      <c r="UWP12" s="5"/>
      <c r="UWT12" s="5"/>
      <c r="UWU12" s="5"/>
      <c r="UWW12" s="6"/>
      <c r="UWX12" s="5"/>
      <c r="UXB12" s="5"/>
      <c r="UXC12" s="5"/>
      <c r="UXE12" s="6"/>
      <c r="UXF12" s="5"/>
      <c r="UXJ12" s="5"/>
      <c r="UXK12" s="5"/>
      <c r="UXM12" s="6"/>
      <c r="UXN12" s="5"/>
      <c r="UXR12" s="5"/>
      <c r="UXS12" s="5"/>
      <c r="UXU12" s="6"/>
      <c r="UXV12" s="5"/>
      <c r="UXZ12" s="5"/>
      <c r="UYA12" s="5"/>
      <c r="UYC12" s="6"/>
      <c r="UYD12" s="5"/>
      <c r="UYH12" s="5"/>
      <c r="UYI12" s="5"/>
      <c r="UYK12" s="6"/>
      <c r="UYL12" s="5"/>
      <c r="UYP12" s="5"/>
      <c r="UYQ12" s="5"/>
      <c r="UYS12" s="6"/>
      <c r="UYT12" s="5"/>
      <c r="UYX12" s="5"/>
      <c r="UYY12" s="5"/>
      <c r="UZA12" s="6"/>
      <c r="UZB12" s="5"/>
      <c r="UZF12" s="5"/>
      <c r="UZG12" s="5"/>
      <c r="UZI12" s="6"/>
      <c r="UZJ12" s="5"/>
      <c r="UZN12" s="5"/>
      <c r="UZO12" s="5"/>
      <c r="UZQ12" s="6"/>
      <c r="UZR12" s="5"/>
      <c r="UZV12" s="5"/>
      <c r="UZW12" s="5"/>
      <c r="UZY12" s="6"/>
      <c r="UZZ12" s="5"/>
      <c r="VAD12" s="5"/>
      <c r="VAE12" s="5"/>
      <c r="VAG12" s="6"/>
      <c r="VAH12" s="5"/>
      <c r="VAL12" s="5"/>
      <c r="VAM12" s="5"/>
      <c r="VAO12" s="6"/>
      <c r="VAP12" s="5"/>
      <c r="VAT12" s="5"/>
      <c r="VAU12" s="5"/>
      <c r="VAW12" s="6"/>
      <c r="VAX12" s="5"/>
      <c r="VBB12" s="5"/>
      <c r="VBC12" s="5"/>
      <c r="VBE12" s="6"/>
      <c r="VBF12" s="5"/>
      <c r="VBJ12" s="5"/>
      <c r="VBK12" s="5"/>
      <c r="VBM12" s="6"/>
      <c r="VBN12" s="5"/>
      <c r="VBR12" s="5"/>
      <c r="VBS12" s="5"/>
      <c r="VBU12" s="6"/>
      <c r="VBV12" s="5"/>
      <c r="VBZ12" s="5"/>
      <c r="VCA12" s="5"/>
      <c r="VCC12" s="6"/>
      <c r="VCD12" s="5"/>
      <c r="VCH12" s="5"/>
      <c r="VCI12" s="5"/>
      <c r="VCK12" s="6"/>
      <c r="VCL12" s="5"/>
      <c r="VCP12" s="5"/>
      <c r="VCQ12" s="5"/>
      <c r="VCS12" s="6"/>
      <c r="VCT12" s="5"/>
      <c r="VCX12" s="5"/>
      <c r="VCY12" s="5"/>
      <c r="VDA12" s="6"/>
      <c r="VDB12" s="5"/>
      <c r="VDF12" s="5"/>
      <c r="VDG12" s="5"/>
      <c r="VDI12" s="6"/>
      <c r="VDJ12" s="5"/>
      <c r="VDN12" s="5"/>
      <c r="VDO12" s="5"/>
      <c r="VDQ12" s="6"/>
      <c r="VDR12" s="5"/>
      <c r="VDV12" s="5"/>
      <c r="VDW12" s="5"/>
      <c r="VDY12" s="6"/>
      <c r="VDZ12" s="5"/>
      <c r="VED12" s="5"/>
      <c r="VEE12" s="5"/>
      <c r="VEG12" s="6"/>
      <c r="VEH12" s="5"/>
      <c r="VEL12" s="5"/>
      <c r="VEM12" s="5"/>
      <c r="VEO12" s="6"/>
      <c r="VEP12" s="5"/>
      <c r="VET12" s="5"/>
      <c r="VEU12" s="5"/>
      <c r="VEW12" s="6"/>
      <c r="VEX12" s="5"/>
      <c r="VFB12" s="5"/>
      <c r="VFC12" s="5"/>
      <c r="VFE12" s="6"/>
      <c r="VFF12" s="5"/>
      <c r="VFJ12" s="5"/>
      <c r="VFK12" s="5"/>
      <c r="VFM12" s="6"/>
      <c r="VFN12" s="5"/>
      <c r="VFR12" s="5"/>
      <c r="VFS12" s="5"/>
      <c r="VFU12" s="6"/>
      <c r="VFV12" s="5"/>
      <c r="VFZ12" s="5"/>
      <c r="VGA12" s="5"/>
      <c r="VGC12" s="6"/>
      <c r="VGD12" s="5"/>
      <c r="VGH12" s="5"/>
      <c r="VGI12" s="5"/>
      <c r="VGK12" s="6"/>
      <c r="VGL12" s="5"/>
      <c r="VGP12" s="5"/>
      <c r="VGQ12" s="5"/>
      <c r="VGS12" s="6"/>
      <c r="VGT12" s="5"/>
      <c r="VGX12" s="5"/>
      <c r="VGY12" s="5"/>
      <c r="VHA12" s="6"/>
      <c r="VHB12" s="5"/>
      <c r="VHF12" s="5"/>
      <c r="VHG12" s="5"/>
      <c r="VHI12" s="6"/>
      <c r="VHJ12" s="5"/>
      <c r="VHN12" s="5"/>
      <c r="VHO12" s="5"/>
      <c r="VHQ12" s="6"/>
      <c r="VHR12" s="5"/>
      <c r="VHV12" s="5"/>
      <c r="VHW12" s="5"/>
      <c r="VHY12" s="6"/>
      <c r="VHZ12" s="5"/>
      <c r="VID12" s="5"/>
      <c r="VIE12" s="5"/>
      <c r="VIG12" s="6"/>
      <c r="VIH12" s="5"/>
      <c r="VIL12" s="5"/>
      <c r="VIM12" s="5"/>
      <c r="VIO12" s="6"/>
      <c r="VIP12" s="5"/>
      <c r="VIT12" s="5"/>
      <c r="VIU12" s="5"/>
      <c r="VIW12" s="6"/>
      <c r="VIX12" s="5"/>
      <c r="VJB12" s="5"/>
      <c r="VJC12" s="5"/>
      <c r="VJE12" s="6"/>
      <c r="VJF12" s="5"/>
      <c r="VJJ12" s="5"/>
      <c r="VJK12" s="5"/>
      <c r="VJM12" s="6"/>
      <c r="VJN12" s="5"/>
      <c r="VJR12" s="5"/>
      <c r="VJS12" s="5"/>
      <c r="VJU12" s="6"/>
      <c r="VJV12" s="5"/>
      <c r="VJZ12" s="5"/>
      <c r="VKA12" s="5"/>
      <c r="VKC12" s="6"/>
      <c r="VKD12" s="5"/>
      <c r="VKH12" s="5"/>
      <c r="VKI12" s="5"/>
      <c r="VKK12" s="6"/>
      <c r="VKL12" s="5"/>
      <c r="VKP12" s="5"/>
      <c r="VKQ12" s="5"/>
      <c r="VKS12" s="6"/>
      <c r="VKT12" s="5"/>
      <c r="VKX12" s="5"/>
      <c r="VKY12" s="5"/>
      <c r="VLA12" s="6"/>
      <c r="VLB12" s="5"/>
      <c r="VLF12" s="5"/>
      <c r="VLG12" s="5"/>
      <c r="VLI12" s="6"/>
      <c r="VLJ12" s="5"/>
      <c r="VLN12" s="5"/>
      <c r="VLO12" s="5"/>
      <c r="VLQ12" s="6"/>
      <c r="VLR12" s="5"/>
      <c r="VLV12" s="5"/>
      <c r="VLW12" s="5"/>
      <c r="VLY12" s="6"/>
      <c r="VLZ12" s="5"/>
      <c r="VMD12" s="5"/>
      <c r="VME12" s="5"/>
      <c r="VMG12" s="6"/>
      <c r="VMH12" s="5"/>
      <c r="VML12" s="5"/>
      <c r="VMM12" s="5"/>
      <c r="VMO12" s="6"/>
      <c r="VMP12" s="5"/>
      <c r="VMT12" s="5"/>
      <c r="VMU12" s="5"/>
      <c r="VMW12" s="6"/>
      <c r="VMX12" s="5"/>
      <c r="VNB12" s="5"/>
      <c r="VNC12" s="5"/>
      <c r="VNE12" s="6"/>
      <c r="VNF12" s="5"/>
      <c r="VNJ12" s="5"/>
      <c r="VNK12" s="5"/>
      <c r="VNM12" s="6"/>
      <c r="VNN12" s="5"/>
      <c r="VNR12" s="5"/>
      <c r="VNS12" s="5"/>
      <c r="VNU12" s="6"/>
      <c r="VNV12" s="5"/>
      <c r="VNZ12" s="5"/>
      <c r="VOA12" s="5"/>
      <c r="VOC12" s="6"/>
      <c r="VOD12" s="5"/>
      <c r="VOH12" s="5"/>
      <c r="VOI12" s="5"/>
      <c r="VOK12" s="6"/>
      <c r="VOL12" s="5"/>
      <c r="VOP12" s="5"/>
      <c r="VOQ12" s="5"/>
      <c r="VOS12" s="6"/>
      <c r="VOT12" s="5"/>
      <c r="VOX12" s="5"/>
      <c r="VOY12" s="5"/>
      <c r="VPA12" s="6"/>
      <c r="VPB12" s="5"/>
      <c r="VPF12" s="5"/>
      <c r="VPG12" s="5"/>
      <c r="VPI12" s="6"/>
      <c r="VPJ12" s="5"/>
      <c r="VPN12" s="5"/>
      <c r="VPO12" s="5"/>
      <c r="VPQ12" s="6"/>
      <c r="VPR12" s="5"/>
      <c r="VPV12" s="5"/>
      <c r="VPW12" s="5"/>
      <c r="VPY12" s="6"/>
      <c r="VPZ12" s="5"/>
      <c r="VQD12" s="5"/>
      <c r="VQE12" s="5"/>
      <c r="VQG12" s="6"/>
      <c r="VQH12" s="5"/>
      <c r="VQL12" s="5"/>
      <c r="VQM12" s="5"/>
      <c r="VQO12" s="6"/>
      <c r="VQP12" s="5"/>
      <c r="VQT12" s="5"/>
      <c r="VQU12" s="5"/>
      <c r="VQW12" s="6"/>
      <c r="VQX12" s="5"/>
      <c r="VRB12" s="5"/>
      <c r="VRC12" s="5"/>
      <c r="VRE12" s="6"/>
      <c r="VRF12" s="5"/>
      <c r="VRJ12" s="5"/>
      <c r="VRK12" s="5"/>
      <c r="VRM12" s="6"/>
      <c r="VRN12" s="5"/>
      <c r="VRR12" s="5"/>
      <c r="VRS12" s="5"/>
      <c r="VRU12" s="6"/>
      <c r="VRV12" s="5"/>
      <c r="VRZ12" s="5"/>
      <c r="VSA12" s="5"/>
      <c r="VSC12" s="6"/>
      <c r="VSD12" s="5"/>
      <c r="VSH12" s="5"/>
      <c r="VSI12" s="5"/>
      <c r="VSK12" s="6"/>
      <c r="VSL12" s="5"/>
      <c r="VSP12" s="5"/>
      <c r="VSQ12" s="5"/>
      <c r="VSS12" s="6"/>
      <c r="VST12" s="5"/>
      <c r="VSX12" s="5"/>
      <c r="VSY12" s="5"/>
      <c r="VTA12" s="6"/>
      <c r="VTB12" s="5"/>
      <c r="VTF12" s="5"/>
      <c r="VTG12" s="5"/>
      <c r="VTI12" s="6"/>
      <c r="VTJ12" s="5"/>
      <c r="VTN12" s="5"/>
      <c r="VTO12" s="5"/>
      <c r="VTQ12" s="6"/>
      <c r="VTR12" s="5"/>
      <c r="VTV12" s="5"/>
      <c r="VTW12" s="5"/>
      <c r="VTY12" s="6"/>
      <c r="VTZ12" s="5"/>
      <c r="VUD12" s="5"/>
      <c r="VUE12" s="5"/>
      <c r="VUG12" s="6"/>
      <c r="VUH12" s="5"/>
      <c r="VUL12" s="5"/>
      <c r="VUM12" s="5"/>
      <c r="VUO12" s="6"/>
      <c r="VUP12" s="5"/>
      <c r="VUT12" s="5"/>
      <c r="VUU12" s="5"/>
      <c r="VUW12" s="6"/>
      <c r="VUX12" s="5"/>
      <c r="VVB12" s="5"/>
      <c r="VVC12" s="5"/>
      <c r="VVE12" s="6"/>
      <c r="VVF12" s="5"/>
      <c r="VVJ12" s="5"/>
      <c r="VVK12" s="5"/>
      <c r="VVM12" s="6"/>
      <c r="VVN12" s="5"/>
      <c r="VVR12" s="5"/>
      <c r="VVS12" s="5"/>
      <c r="VVU12" s="6"/>
      <c r="VVV12" s="5"/>
      <c r="VVZ12" s="5"/>
      <c r="VWA12" s="5"/>
      <c r="VWC12" s="6"/>
      <c r="VWD12" s="5"/>
      <c r="VWH12" s="5"/>
      <c r="VWI12" s="5"/>
      <c r="VWK12" s="6"/>
      <c r="VWL12" s="5"/>
      <c r="VWP12" s="5"/>
      <c r="VWQ12" s="5"/>
      <c r="VWS12" s="6"/>
      <c r="VWT12" s="5"/>
      <c r="VWX12" s="5"/>
      <c r="VWY12" s="5"/>
      <c r="VXA12" s="6"/>
      <c r="VXB12" s="5"/>
      <c r="VXF12" s="5"/>
      <c r="VXG12" s="5"/>
      <c r="VXI12" s="6"/>
      <c r="VXJ12" s="5"/>
      <c r="VXN12" s="5"/>
      <c r="VXO12" s="5"/>
      <c r="VXQ12" s="6"/>
      <c r="VXR12" s="5"/>
      <c r="VXV12" s="5"/>
      <c r="VXW12" s="5"/>
      <c r="VXY12" s="6"/>
      <c r="VXZ12" s="5"/>
      <c r="VYD12" s="5"/>
      <c r="VYE12" s="5"/>
      <c r="VYG12" s="6"/>
      <c r="VYH12" s="5"/>
      <c r="VYL12" s="5"/>
      <c r="VYM12" s="5"/>
      <c r="VYO12" s="6"/>
      <c r="VYP12" s="5"/>
      <c r="VYT12" s="5"/>
      <c r="VYU12" s="5"/>
      <c r="VYW12" s="6"/>
      <c r="VYX12" s="5"/>
      <c r="VZB12" s="5"/>
      <c r="VZC12" s="5"/>
      <c r="VZE12" s="6"/>
      <c r="VZF12" s="5"/>
      <c r="VZJ12" s="5"/>
      <c r="VZK12" s="5"/>
      <c r="VZM12" s="6"/>
      <c r="VZN12" s="5"/>
      <c r="VZR12" s="5"/>
      <c r="VZS12" s="5"/>
      <c r="VZU12" s="6"/>
      <c r="VZV12" s="5"/>
      <c r="VZZ12" s="5"/>
      <c r="WAA12" s="5"/>
      <c r="WAC12" s="6"/>
      <c r="WAD12" s="5"/>
      <c r="WAH12" s="5"/>
      <c r="WAI12" s="5"/>
      <c r="WAK12" s="6"/>
      <c r="WAL12" s="5"/>
      <c r="WAP12" s="5"/>
      <c r="WAQ12" s="5"/>
      <c r="WAS12" s="6"/>
      <c r="WAT12" s="5"/>
      <c r="WAX12" s="5"/>
      <c r="WAY12" s="5"/>
      <c r="WBA12" s="6"/>
      <c r="WBB12" s="5"/>
      <c r="WBF12" s="5"/>
      <c r="WBG12" s="5"/>
      <c r="WBI12" s="6"/>
      <c r="WBJ12" s="5"/>
      <c r="WBN12" s="5"/>
      <c r="WBO12" s="5"/>
      <c r="WBQ12" s="6"/>
      <c r="WBR12" s="5"/>
      <c r="WBV12" s="5"/>
      <c r="WBW12" s="5"/>
      <c r="WBY12" s="6"/>
      <c r="WBZ12" s="5"/>
      <c r="WCD12" s="5"/>
      <c r="WCE12" s="5"/>
      <c r="WCG12" s="6"/>
      <c r="WCH12" s="5"/>
      <c r="WCL12" s="5"/>
      <c r="WCM12" s="5"/>
      <c r="WCO12" s="6"/>
      <c r="WCP12" s="5"/>
      <c r="WCT12" s="5"/>
      <c r="WCU12" s="5"/>
      <c r="WCW12" s="6"/>
      <c r="WCX12" s="5"/>
      <c r="WDB12" s="5"/>
      <c r="WDC12" s="5"/>
      <c r="WDE12" s="6"/>
      <c r="WDF12" s="5"/>
      <c r="WDJ12" s="5"/>
      <c r="WDK12" s="5"/>
      <c r="WDM12" s="6"/>
      <c r="WDN12" s="5"/>
      <c r="WDR12" s="5"/>
      <c r="WDS12" s="5"/>
      <c r="WDU12" s="6"/>
      <c r="WDV12" s="5"/>
      <c r="WDZ12" s="5"/>
      <c r="WEA12" s="5"/>
      <c r="WEC12" s="6"/>
      <c r="WED12" s="5"/>
      <c r="WEH12" s="5"/>
      <c r="WEI12" s="5"/>
      <c r="WEK12" s="6"/>
      <c r="WEL12" s="5"/>
      <c r="WEP12" s="5"/>
      <c r="WEQ12" s="5"/>
      <c r="WES12" s="6"/>
      <c r="WET12" s="5"/>
      <c r="WEX12" s="5"/>
      <c r="WEY12" s="5"/>
      <c r="WFA12" s="6"/>
      <c r="WFB12" s="5"/>
      <c r="WFF12" s="5"/>
      <c r="WFG12" s="5"/>
      <c r="WFI12" s="6"/>
      <c r="WFJ12" s="5"/>
      <c r="WFN12" s="5"/>
      <c r="WFO12" s="5"/>
      <c r="WFQ12" s="6"/>
      <c r="WFR12" s="5"/>
      <c r="WFV12" s="5"/>
      <c r="WFW12" s="5"/>
      <c r="WFY12" s="6"/>
      <c r="WFZ12" s="5"/>
      <c r="WGD12" s="5"/>
      <c r="WGE12" s="5"/>
      <c r="WGG12" s="6"/>
      <c r="WGH12" s="5"/>
      <c r="WGL12" s="5"/>
      <c r="WGM12" s="5"/>
      <c r="WGO12" s="6"/>
      <c r="WGP12" s="5"/>
      <c r="WGT12" s="5"/>
      <c r="WGU12" s="5"/>
      <c r="WGW12" s="6"/>
      <c r="WGX12" s="5"/>
      <c r="WHB12" s="5"/>
      <c r="WHC12" s="5"/>
      <c r="WHE12" s="6"/>
      <c r="WHF12" s="5"/>
      <c r="WHJ12" s="5"/>
      <c r="WHK12" s="5"/>
      <c r="WHM12" s="6"/>
      <c r="WHN12" s="5"/>
      <c r="WHR12" s="5"/>
      <c r="WHS12" s="5"/>
      <c r="WHU12" s="6"/>
      <c r="WHV12" s="5"/>
      <c r="WHZ12" s="5"/>
      <c r="WIA12" s="5"/>
      <c r="WIC12" s="6"/>
      <c r="WID12" s="5"/>
      <c r="WIH12" s="5"/>
      <c r="WII12" s="5"/>
      <c r="WIK12" s="6"/>
      <c r="WIL12" s="5"/>
      <c r="WIP12" s="5"/>
      <c r="WIQ12" s="5"/>
      <c r="WIS12" s="6"/>
      <c r="WIT12" s="5"/>
      <c r="WIX12" s="5"/>
      <c r="WIY12" s="5"/>
      <c r="WJA12" s="6"/>
      <c r="WJB12" s="5"/>
      <c r="WJF12" s="5"/>
      <c r="WJG12" s="5"/>
      <c r="WJI12" s="6"/>
      <c r="WJJ12" s="5"/>
      <c r="WJN12" s="5"/>
      <c r="WJO12" s="5"/>
      <c r="WJQ12" s="6"/>
      <c r="WJR12" s="5"/>
      <c r="WJV12" s="5"/>
      <c r="WJW12" s="5"/>
      <c r="WJY12" s="6"/>
      <c r="WJZ12" s="5"/>
      <c r="WKD12" s="5"/>
      <c r="WKE12" s="5"/>
      <c r="WKG12" s="6"/>
      <c r="WKH12" s="5"/>
      <c r="WKL12" s="5"/>
      <c r="WKM12" s="5"/>
      <c r="WKO12" s="6"/>
      <c r="WKP12" s="5"/>
      <c r="WKT12" s="5"/>
      <c r="WKU12" s="5"/>
      <c r="WKW12" s="6"/>
      <c r="WKX12" s="5"/>
      <c r="WLB12" s="5"/>
      <c r="WLC12" s="5"/>
      <c r="WLE12" s="6"/>
      <c r="WLF12" s="5"/>
      <c r="WLJ12" s="5"/>
      <c r="WLK12" s="5"/>
      <c r="WLM12" s="6"/>
      <c r="WLN12" s="5"/>
      <c r="WLR12" s="5"/>
      <c r="WLS12" s="5"/>
      <c r="WLU12" s="6"/>
      <c r="WLV12" s="5"/>
      <c r="WLZ12" s="5"/>
      <c r="WMA12" s="5"/>
      <c r="WMC12" s="6"/>
      <c r="WMD12" s="5"/>
      <c r="WMH12" s="5"/>
      <c r="WMI12" s="5"/>
      <c r="WMK12" s="6"/>
      <c r="WML12" s="5"/>
      <c r="WMP12" s="5"/>
      <c r="WMQ12" s="5"/>
      <c r="WMS12" s="6"/>
      <c r="WMT12" s="5"/>
      <c r="WMX12" s="5"/>
      <c r="WMY12" s="5"/>
      <c r="WNA12" s="6"/>
      <c r="WNB12" s="5"/>
      <c r="WNF12" s="5"/>
      <c r="WNG12" s="5"/>
      <c r="WNI12" s="6"/>
      <c r="WNJ12" s="5"/>
      <c r="WNN12" s="5"/>
      <c r="WNO12" s="5"/>
      <c r="WNQ12" s="6"/>
      <c r="WNR12" s="5"/>
      <c r="WNV12" s="5"/>
      <c r="WNW12" s="5"/>
      <c r="WNY12" s="6"/>
      <c r="WNZ12" s="5"/>
      <c r="WOD12" s="5"/>
      <c r="WOE12" s="5"/>
      <c r="WOG12" s="6"/>
      <c r="WOH12" s="5"/>
      <c r="WOL12" s="5"/>
      <c r="WOM12" s="5"/>
      <c r="WOO12" s="6"/>
      <c r="WOP12" s="5"/>
      <c r="WOT12" s="5"/>
      <c r="WOU12" s="5"/>
      <c r="WOW12" s="6"/>
      <c r="WOX12" s="5"/>
      <c r="WPB12" s="5"/>
      <c r="WPC12" s="5"/>
      <c r="WPE12" s="6"/>
      <c r="WPF12" s="5"/>
      <c r="WPJ12" s="5"/>
      <c r="WPK12" s="5"/>
      <c r="WPM12" s="6"/>
      <c r="WPN12" s="5"/>
      <c r="WPR12" s="5"/>
      <c r="WPS12" s="5"/>
      <c r="WPU12" s="6"/>
      <c r="WPV12" s="5"/>
      <c r="WPZ12" s="5"/>
      <c r="WQA12" s="5"/>
      <c r="WQC12" s="6"/>
      <c r="WQD12" s="5"/>
      <c r="WQH12" s="5"/>
      <c r="WQI12" s="5"/>
      <c r="WQK12" s="6"/>
      <c r="WQL12" s="5"/>
      <c r="WQP12" s="5"/>
      <c r="WQQ12" s="5"/>
      <c r="WQS12" s="6"/>
      <c r="WQT12" s="5"/>
      <c r="WQX12" s="5"/>
      <c r="WQY12" s="5"/>
      <c r="WRA12" s="6"/>
      <c r="WRB12" s="5"/>
      <c r="WRF12" s="5"/>
      <c r="WRG12" s="5"/>
      <c r="WRI12" s="6"/>
      <c r="WRJ12" s="5"/>
      <c r="WRN12" s="5"/>
      <c r="WRO12" s="5"/>
      <c r="WRQ12" s="6"/>
      <c r="WRR12" s="5"/>
      <c r="WRV12" s="5"/>
      <c r="WRW12" s="5"/>
      <c r="WRY12" s="6"/>
      <c r="WRZ12" s="5"/>
      <c r="WSD12" s="5"/>
      <c r="WSE12" s="5"/>
      <c r="WSG12" s="6"/>
      <c r="WSH12" s="5"/>
      <c r="WSL12" s="5"/>
      <c r="WSM12" s="5"/>
      <c r="WSO12" s="6"/>
      <c r="WSP12" s="5"/>
      <c r="WST12" s="5"/>
      <c r="WSU12" s="5"/>
      <c r="WSW12" s="6"/>
      <c r="WSX12" s="5"/>
      <c r="WTB12" s="5"/>
      <c r="WTC12" s="5"/>
      <c r="WTE12" s="6"/>
      <c r="WTF12" s="5"/>
      <c r="WTJ12" s="5"/>
      <c r="WTK12" s="5"/>
      <c r="WTM12" s="6"/>
      <c r="WTN12" s="5"/>
      <c r="WTR12" s="5"/>
      <c r="WTS12" s="5"/>
      <c r="WTU12" s="6"/>
      <c r="WTV12" s="5"/>
      <c r="WTZ12" s="5"/>
      <c r="WUA12" s="5"/>
      <c r="WUC12" s="6"/>
      <c r="WUD12" s="5"/>
      <c r="WUH12" s="5"/>
      <c r="WUI12" s="5"/>
      <c r="WUK12" s="6"/>
      <c r="WUL12" s="5"/>
      <c r="WUP12" s="5"/>
      <c r="WUQ12" s="5"/>
      <c r="WUS12" s="6"/>
      <c r="WUT12" s="5"/>
      <c r="WUX12" s="5"/>
      <c r="WUY12" s="5"/>
      <c r="WVA12" s="6"/>
      <c r="WVB12" s="5"/>
      <c r="WVF12" s="5"/>
      <c r="WVG12" s="5"/>
      <c r="WVI12" s="6"/>
      <c r="WVJ12" s="5"/>
      <c r="WVN12" s="5"/>
      <c r="WVO12" s="5"/>
      <c r="WVQ12" s="6"/>
      <c r="WVR12" s="5"/>
      <c r="WVV12" s="5"/>
      <c r="WVW12" s="5"/>
      <c r="WVY12" s="6"/>
      <c r="WVZ12" s="5"/>
      <c r="WWD12" s="5"/>
      <c r="WWE12" s="5"/>
      <c r="WWG12" s="6"/>
      <c r="WWH12" s="5"/>
      <c r="WWL12" s="5"/>
      <c r="WWM12" s="5"/>
      <c r="WWO12" s="6"/>
      <c r="WWP12" s="5"/>
      <c r="WWT12" s="5"/>
      <c r="WWU12" s="5"/>
      <c r="WWW12" s="6"/>
      <c r="WWX12" s="5"/>
      <c r="WXB12" s="5"/>
      <c r="WXC12" s="5"/>
      <c r="WXE12" s="6"/>
      <c r="WXF12" s="5"/>
      <c r="WXJ12" s="5"/>
      <c r="WXK12" s="5"/>
      <c r="WXM12" s="6"/>
      <c r="WXN12" s="5"/>
      <c r="WXR12" s="5"/>
      <c r="WXS12" s="5"/>
      <c r="WXU12" s="6"/>
      <c r="WXV12" s="5"/>
      <c r="WXZ12" s="5"/>
      <c r="WYA12" s="5"/>
      <c r="WYC12" s="6"/>
      <c r="WYD12" s="5"/>
      <c r="WYH12" s="5"/>
      <c r="WYI12" s="5"/>
      <c r="WYK12" s="6"/>
      <c r="WYL12" s="5"/>
      <c r="WYP12" s="5"/>
      <c r="WYQ12" s="5"/>
      <c r="WYS12" s="6"/>
      <c r="WYT12" s="5"/>
      <c r="WYX12" s="5"/>
      <c r="WYY12" s="5"/>
      <c r="WZA12" s="6"/>
      <c r="WZB12" s="5"/>
      <c r="WZF12" s="5"/>
      <c r="WZG12" s="5"/>
      <c r="WZI12" s="6"/>
      <c r="WZJ12" s="5"/>
      <c r="WZN12" s="5"/>
      <c r="WZO12" s="5"/>
      <c r="WZQ12" s="6"/>
      <c r="WZR12" s="5"/>
      <c r="WZV12" s="5"/>
      <c r="WZW12" s="5"/>
      <c r="WZY12" s="6"/>
      <c r="WZZ12" s="5"/>
      <c r="XAD12" s="5"/>
      <c r="XAE12" s="5"/>
      <c r="XAG12" s="6"/>
      <c r="XAH12" s="5"/>
      <c r="XAL12" s="5"/>
      <c r="XAM12" s="5"/>
      <c r="XAO12" s="6"/>
      <c r="XAP12" s="5"/>
      <c r="XAT12" s="5"/>
      <c r="XAU12" s="5"/>
      <c r="XAW12" s="6"/>
      <c r="XAX12" s="5"/>
      <c r="XBB12" s="5"/>
      <c r="XBC12" s="5"/>
      <c r="XBE12" s="6"/>
      <c r="XBF12" s="5"/>
      <c r="XBJ12" s="5"/>
      <c r="XBK12" s="5"/>
      <c r="XBM12" s="6"/>
      <c r="XBN12" s="5"/>
      <c r="XBR12" s="5"/>
      <c r="XBS12" s="5"/>
      <c r="XBU12" s="6"/>
      <c r="XBV12" s="5"/>
      <c r="XBZ12" s="5"/>
      <c r="XCA12" s="5"/>
      <c r="XCC12" s="6"/>
      <c r="XCD12" s="5"/>
      <c r="XCH12" s="5"/>
      <c r="XCI12" s="5"/>
      <c r="XCK12" s="6"/>
      <c r="XCL12" s="5"/>
      <c r="XCP12" s="5"/>
      <c r="XCQ12" s="5"/>
      <c r="XCS12" s="6"/>
      <c r="XCT12" s="5"/>
      <c r="XCX12" s="5"/>
      <c r="XCY12" s="5"/>
      <c r="XDA12" s="6"/>
      <c r="XDB12" s="5"/>
      <c r="XDF12" s="5"/>
      <c r="XDG12" s="5"/>
      <c r="XDI12" s="6"/>
      <c r="XDJ12" s="5"/>
      <c r="XDN12" s="5"/>
      <c r="XDO12" s="5"/>
      <c r="XDQ12" s="6"/>
      <c r="XDR12" s="5"/>
      <c r="XDV12" s="5"/>
      <c r="XDW12" s="5"/>
      <c r="XDY12" s="6"/>
      <c r="XDZ12" s="5"/>
      <c r="XED12" s="5"/>
      <c r="XEE12" s="5"/>
      <c r="XEG12" s="6"/>
      <c r="XEH12" s="5"/>
      <c r="XEL12" s="5"/>
      <c r="XEM12" s="5"/>
      <c r="XEO12" s="6"/>
      <c r="XEP12" s="5"/>
      <c r="XET12" s="5"/>
      <c r="XEU12" s="5"/>
    </row>
    <row r="13" spans="1:1023 1025:2047 2049:3071 3073:4095 4097:5119 5121:6143 6145:7167 7169:8191 8193:9215 9217:10239 10241:11263 11265:12287 12289:13311 13313:14335 14337:15359 15361:16375" ht="37" customHeight="1">
      <c r="A13" s="7" t="s">
        <v>366</v>
      </c>
      <c r="B13" s="8" t="s">
        <v>363</v>
      </c>
      <c r="C13" s="9" t="s">
        <v>358</v>
      </c>
      <c r="D13" s="9" t="s">
        <v>359</v>
      </c>
      <c r="E13" s="10" t="s">
        <v>368</v>
      </c>
      <c r="F13" s="10" t="s">
        <v>369</v>
      </c>
      <c r="G13" s="10" t="s">
        <v>370</v>
      </c>
      <c r="H13" s="10" t="s">
        <v>384</v>
      </c>
      <c r="I13" s="10" t="s">
        <v>385</v>
      </c>
      <c r="J13" s="10" t="s">
        <v>355</v>
      </c>
      <c r="K13" s="10" t="s">
        <v>377</v>
      </c>
      <c r="L13" s="10" t="s">
        <v>387</v>
      </c>
      <c r="M13" s="10" t="s">
        <v>376</v>
      </c>
      <c r="N13" s="10" t="s">
        <v>386</v>
      </c>
      <c r="O13" s="11" t="s">
        <v>357</v>
      </c>
      <c r="P13" s="12" t="s">
        <v>405</v>
      </c>
      <c r="Q13" s="13"/>
      <c r="R13" s="13"/>
      <c r="T13" s="5"/>
      <c r="U13" s="5"/>
    </row>
    <row r="14" spans="1:1023 1025:2047 2049:3071 3073:4095 4097:5119 5121:6143 6145:7167 7169:8191 8193:9215 9217:10239 10241:11263 11265:12287 12289:13311 13313:14335 14337:15359 15361:16375">
      <c r="B14" s="14" t="s">
        <v>271</v>
      </c>
      <c r="C14" s="27">
        <v>84.109099999999998</v>
      </c>
      <c r="D14" s="27">
        <v>27.639700000000001</v>
      </c>
      <c r="E14" s="16">
        <v>-158</v>
      </c>
      <c r="F14" s="16">
        <v>-157</v>
      </c>
      <c r="G14" s="16">
        <v>-170</v>
      </c>
      <c r="H14" s="16">
        <v>3.0004983348030736</v>
      </c>
      <c r="I14" s="17">
        <f>3.5/SQRT(H14)</f>
        <v>2.0205581300593116</v>
      </c>
      <c r="J14" s="16" t="s">
        <v>152</v>
      </c>
      <c r="K14" s="19">
        <v>1</v>
      </c>
      <c r="L14" s="19" t="str" cm="1">
        <f t="array" ref="L14">_xlfn.IFS(AND(M14="Brahmaputra"), "Himalaya",   AND(C14&lt;95,D14&gt;32.5), "Central Tibet",   AND(C14&gt;95,D14&gt;36), "Northeast Tibet",   AND(M14="Mekong"), "Yunnan",   AND(M14="Yangtze",C14&gt;95,D14&lt;36), "Yunnan")</f>
        <v>Himalaya</v>
      </c>
      <c r="M14" s="26" t="s">
        <v>378</v>
      </c>
      <c r="N14" s="19">
        <v>160</v>
      </c>
      <c r="O14" s="20" t="s">
        <v>0</v>
      </c>
      <c r="P14" s="3" t="s">
        <v>362</v>
      </c>
      <c r="Q14" s="13"/>
      <c r="R14" s="3"/>
      <c r="T14" s="3"/>
      <c r="U14" s="21"/>
    </row>
    <row r="15" spans="1:1023 1025:2047 2049:3071 3073:4095 4097:5119 5121:6143 6145:7167 7169:8191 8193:9215 9217:10239 10241:11263 11265:12287 12289:13311 13313:14335 14337:15359 15361:16375">
      <c r="B15" s="18" t="s">
        <v>272</v>
      </c>
      <c r="C15" s="27">
        <v>85</v>
      </c>
      <c r="D15" s="27">
        <v>27.8</v>
      </c>
      <c r="E15" s="16"/>
      <c r="F15" s="16">
        <v>-151</v>
      </c>
      <c r="G15" s="16">
        <v>-165</v>
      </c>
      <c r="H15" s="16">
        <v>3.0004983348030736</v>
      </c>
      <c r="I15" s="17">
        <f t="shared" ref="I15:I78" si="0">3.5/SQRT(H15)</f>
        <v>2.0205581300593116</v>
      </c>
      <c r="J15" s="16" t="s">
        <v>152</v>
      </c>
      <c r="K15" s="19">
        <v>2</v>
      </c>
      <c r="L15" s="19" t="str" cm="1">
        <f t="array" ref="L15">_xlfn.IFS(AND(M15="Brahmaputra"), "Himalaya",   AND(C15&lt;95,D15&gt;32.5), "Central Tibet",   AND(C15&gt;95,D15&gt;36), "Northeast Tibet",   AND(M15="Mekong"), "Yunnan",   AND(M15="Yangtze",C15&gt;95,D15&lt;36), "Yunnan")</f>
        <v>Himalaya</v>
      </c>
      <c r="M15" s="26" t="s">
        <v>378</v>
      </c>
      <c r="N15" s="19">
        <v>416</v>
      </c>
      <c r="O15" s="20" t="s">
        <v>1</v>
      </c>
      <c r="P15" s="3" t="s">
        <v>362</v>
      </c>
      <c r="Q15" s="13"/>
      <c r="R15" s="13"/>
      <c r="T15" s="3"/>
      <c r="U15" s="21"/>
    </row>
    <row r="16" spans="1:1023 1025:2047 2049:3071 3073:4095 4097:5119 5121:6143 6145:7167 7169:8191 8193:9215 9217:10239 10241:11263 11265:12287 12289:13311 13313:14335 14337:15359 15361:16375">
      <c r="B16" s="18" t="s">
        <v>273</v>
      </c>
      <c r="C16" s="27">
        <v>83.733900000000006</v>
      </c>
      <c r="D16" s="27">
        <v>28.2639</v>
      </c>
      <c r="E16" s="16">
        <v>-182</v>
      </c>
      <c r="F16" s="16">
        <v>-177</v>
      </c>
      <c r="G16" s="16">
        <v>-174</v>
      </c>
      <c r="H16" s="16">
        <v>3.0004983348030736</v>
      </c>
      <c r="I16" s="17">
        <f t="shared" si="0"/>
        <v>2.0205581300593116</v>
      </c>
      <c r="J16" s="16" t="s">
        <v>152</v>
      </c>
      <c r="K16" s="19">
        <v>3</v>
      </c>
      <c r="L16" s="19" t="str" cm="1">
        <f t="array" ref="L16">_xlfn.IFS(AND(M16="Brahmaputra"), "Himalaya",   AND(C16&lt;95,D16&gt;32.5), "Central Tibet",   AND(C16&gt;95,D16&gt;36), "Northeast Tibet",   AND(M16="Mekong"), "Yunnan",   AND(M16="Yangtze",C16&gt;95,D16&lt;36), "Yunnan")</f>
        <v>Himalaya</v>
      </c>
      <c r="M16" s="26" t="s">
        <v>378</v>
      </c>
      <c r="N16" s="19">
        <v>850</v>
      </c>
      <c r="O16" s="20" t="s">
        <v>2</v>
      </c>
      <c r="P16" s="3" t="s">
        <v>362</v>
      </c>
      <c r="Q16" s="13"/>
      <c r="R16" s="13"/>
      <c r="T16" s="3"/>
      <c r="U16" s="21"/>
    </row>
    <row r="17" spans="2:21">
      <c r="B17" s="18" t="s">
        <v>274</v>
      </c>
      <c r="C17" s="27">
        <v>85.9923</v>
      </c>
      <c r="D17" s="27">
        <v>28.119399999999999</v>
      </c>
      <c r="E17" s="16">
        <v>-174</v>
      </c>
      <c r="F17" s="16">
        <v>-183</v>
      </c>
      <c r="G17" s="16">
        <v>-186</v>
      </c>
      <c r="H17" s="16">
        <v>3.0004983348030736</v>
      </c>
      <c r="I17" s="17">
        <f t="shared" si="0"/>
        <v>2.0205581300593116</v>
      </c>
      <c r="J17" s="16" t="s">
        <v>152</v>
      </c>
      <c r="K17" s="19">
        <v>4</v>
      </c>
      <c r="L17" s="19" t="str" cm="1">
        <f t="array" ref="L17">_xlfn.IFS(AND(M17="Brahmaputra"), "Himalaya",   AND(C17&lt;95,D17&gt;32.5), "Central Tibet",   AND(C17&gt;95,D17&gt;36), "Northeast Tibet",   AND(M17="Mekong"), "Yunnan",   AND(M17="Yangtze",C17&gt;95,D17&lt;36), "Yunnan")</f>
        <v>Himalaya</v>
      </c>
      <c r="M17" s="26" t="s">
        <v>378</v>
      </c>
      <c r="N17" s="19">
        <v>3485</v>
      </c>
      <c r="O17" s="20" t="s">
        <v>3</v>
      </c>
      <c r="P17" s="3" t="s">
        <v>362</v>
      </c>
      <c r="Q17" s="13"/>
      <c r="R17" s="13"/>
      <c r="T17" s="3"/>
      <c r="U17" s="21"/>
    </row>
    <row r="18" spans="2:21">
      <c r="B18" s="18" t="s">
        <v>275</v>
      </c>
      <c r="C18" s="27">
        <v>94.329300000000003</v>
      </c>
      <c r="D18" s="27">
        <v>35.253599999999999</v>
      </c>
      <c r="E18" s="16">
        <v>-120</v>
      </c>
      <c r="F18" s="16">
        <v>-146</v>
      </c>
      <c r="G18" s="16">
        <v>-163</v>
      </c>
      <c r="H18" s="16">
        <v>3.0004983348030736</v>
      </c>
      <c r="I18" s="17">
        <f t="shared" si="0"/>
        <v>2.0205581300593116</v>
      </c>
      <c r="J18" s="16" t="s">
        <v>152</v>
      </c>
      <c r="K18" s="19">
        <v>5</v>
      </c>
      <c r="L18" s="19" t="str" cm="1">
        <f t="array" ref="L18">_xlfn.IFS(AND(M18="Brahmaputra"), "Himalaya",   AND(C18&lt;95,D18&gt;32.5), "Central Tibet",   AND(C18&gt;95,D18&gt;36), "Northeast Tibet",   AND(M18="Mekong"), "Yunnan",   AND(M18="Yangtze",C18&gt;95,D18&lt;36), "Yunnan")</f>
        <v>Central Tibet</v>
      </c>
      <c r="M18" s="26" t="s">
        <v>379</v>
      </c>
      <c r="N18" s="19">
        <v>4080</v>
      </c>
      <c r="O18" s="20" t="s">
        <v>4</v>
      </c>
      <c r="P18" s="3" t="s">
        <v>362</v>
      </c>
      <c r="Q18" s="13"/>
      <c r="R18" s="13"/>
      <c r="T18" s="3"/>
      <c r="U18" s="21"/>
    </row>
    <row r="19" spans="2:21">
      <c r="B19" s="18" t="s">
        <v>276</v>
      </c>
      <c r="C19" s="27">
        <v>94.055499999999995</v>
      </c>
      <c r="D19" s="27">
        <v>35.696800000000003</v>
      </c>
      <c r="E19" s="16">
        <v>-161</v>
      </c>
      <c r="F19" s="16">
        <v>-167</v>
      </c>
      <c r="G19" s="16">
        <v>-171</v>
      </c>
      <c r="H19" s="16">
        <v>3.0004983348030736</v>
      </c>
      <c r="I19" s="17">
        <f t="shared" si="0"/>
        <v>2.0205581300593116</v>
      </c>
      <c r="J19" s="16" t="s">
        <v>152</v>
      </c>
      <c r="K19" s="19">
        <v>6</v>
      </c>
      <c r="L19" s="19" t="str" cm="1">
        <f t="array" ref="L19">_xlfn.IFS(AND(M19="Brahmaputra"), "Himalaya",   AND(C19&lt;95,D19&gt;32.5), "Central Tibet",   AND(C19&gt;95,D19&gt;36), "Northeast Tibet",   AND(M19="Mekong"), "Yunnan",   AND(M19="Yangtze",C19&gt;95,D19&lt;36), "Yunnan")</f>
        <v>Central Tibet</v>
      </c>
      <c r="M19" s="26" t="s">
        <v>380</v>
      </c>
      <c r="N19" s="19">
        <v>4556</v>
      </c>
      <c r="O19" s="20" t="s">
        <v>5</v>
      </c>
      <c r="P19" s="3" t="s">
        <v>362</v>
      </c>
      <c r="Q19" s="13"/>
      <c r="R19" s="13"/>
      <c r="T19" s="3"/>
      <c r="U19" s="21"/>
    </row>
    <row r="20" spans="2:21">
      <c r="B20" s="18" t="s">
        <v>277</v>
      </c>
      <c r="C20" s="27">
        <v>94.068600000000004</v>
      </c>
      <c r="D20" s="27">
        <v>35.642200000000003</v>
      </c>
      <c r="E20" s="16">
        <v>-160</v>
      </c>
      <c r="F20" s="16">
        <v>-173</v>
      </c>
      <c r="G20" s="16">
        <v>-174</v>
      </c>
      <c r="H20" s="16">
        <v>3.0004983348030736</v>
      </c>
      <c r="I20" s="17">
        <f t="shared" si="0"/>
        <v>2.0205581300593116</v>
      </c>
      <c r="J20" s="16" t="s">
        <v>152</v>
      </c>
      <c r="K20" s="19">
        <v>7</v>
      </c>
      <c r="L20" s="19" t="str" cm="1">
        <f t="array" ref="L20">_xlfn.IFS(AND(M20="Brahmaputra"), "Himalaya",   AND(C20&lt;95,D20&gt;32.5), "Central Tibet",   AND(C20&gt;95,D20&gt;36), "Northeast Tibet",   AND(M20="Mekong"), "Yunnan",   AND(M20="Yangtze",C20&gt;95,D20&lt;36), "Yunnan")</f>
        <v>Himalaya</v>
      </c>
      <c r="M20" s="26" t="s">
        <v>378</v>
      </c>
      <c r="N20" s="19">
        <v>4750</v>
      </c>
      <c r="O20" s="20" t="s">
        <v>6</v>
      </c>
      <c r="P20" s="3" t="s">
        <v>362</v>
      </c>
      <c r="Q20" s="13"/>
      <c r="R20" s="13"/>
      <c r="T20" s="3"/>
      <c r="U20" s="21"/>
    </row>
    <row r="21" spans="2:21">
      <c r="B21" s="18" t="s">
        <v>278</v>
      </c>
      <c r="C21" s="27">
        <v>94.007999999999996</v>
      </c>
      <c r="D21" s="27">
        <v>35.567700000000002</v>
      </c>
      <c r="E21" s="16">
        <v>-170</v>
      </c>
      <c r="F21" s="16">
        <v>-163</v>
      </c>
      <c r="G21" s="16">
        <v>-175</v>
      </c>
      <c r="H21" s="16">
        <v>3.0004983348030736</v>
      </c>
      <c r="I21" s="17">
        <f t="shared" si="0"/>
        <v>2.0205581300593116</v>
      </c>
      <c r="J21" s="16" t="s">
        <v>152</v>
      </c>
      <c r="K21" s="19">
        <v>8</v>
      </c>
      <c r="L21" s="19" t="str" cm="1">
        <f t="array" ref="L21">_xlfn.IFS(AND(M21="Brahmaputra"), "Himalaya",   AND(C21&lt;95,D21&gt;32.5), "Central Tibet",   AND(C21&gt;95,D21&gt;36), "Northeast Tibet",   AND(M21="Mekong"), "Yunnan",   AND(M21="Yangtze",C21&gt;95,D21&lt;36), "Yunnan")</f>
        <v>Central Tibet</v>
      </c>
      <c r="M21" s="26" t="s">
        <v>379</v>
      </c>
      <c r="N21" s="19">
        <v>4655</v>
      </c>
      <c r="O21" s="20" t="s">
        <v>7</v>
      </c>
      <c r="P21" s="3" t="s">
        <v>362</v>
      </c>
      <c r="Q21" s="13"/>
      <c r="R21" s="13"/>
      <c r="T21" s="3"/>
      <c r="U21" s="21"/>
    </row>
    <row r="22" spans="2:21">
      <c r="B22" s="18" t="s">
        <v>279</v>
      </c>
      <c r="C22" s="27">
        <v>93.604299999999995</v>
      </c>
      <c r="D22" s="27">
        <v>35.4681</v>
      </c>
      <c r="E22" s="16">
        <v>-154</v>
      </c>
      <c r="F22" s="16">
        <v>-174</v>
      </c>
      <c r="G22" s="16">
        <v>-187</v>
      </c>
      <c r="H22" s="16">
        <v>3.0004983348030736</v>
      </c>
      <c r="I22" s="17">
        <f t="shared" si="0"/>
        <v>2.0205581300593116</v>
      </c>
      <c r="J22" s="16" t="s">
        <v>152</v>
      </c>
      <c r="K22" s="19">
        <v>9</v>
      </c>
      <c r="L22" s="19" t="str" cm="1">
        <f t="array" ref="L22">_xlfn.IFS(AND(M22="Brahmaputra"), "Himalaya",   AND(C22&lt;95,D22&gt;32.5), "Central Tibet",   AND(C22&gt;95,D22&gt;36), "Northeast Tibet",   AND(M22="Mekong"), "Yunnan",   AND(M22="Yangtze",C22&gt;95,D22&lt;36), "Yunnan")</f>
        <v>Central Tibet</v>
      </c>
      <c r="M22" s="26" t="s">
        <v>379</v>
      </c>
      <c r="N22" s="19">
        <v>4498</v>
      </c>
      <c r="O22" s="20" t="s">
        <v>8</v>
      </c>
      <c r="P22" s="3" t="s">
        <v>362</v>
      </c>
      <c r="Q22" s="13"/>
      <c r="R22" s="13"/>
      <c r="T22" s="3"/>
      <c r="U22" s="21"/>
    </row>
    <row r="23" spans="2:21">
      <c r="B23" s="18" t="s">
        <v>280</v>
      </c>
      <c r="C23" s="27">
        <v>93.035399999999996</v>
      </c>
      <c r="D23" s="27">
        <v>35.169899999999998</v>
      </c>
      <c r="E23" s="16">
        <v>-168</v>
      </c>
      <c r="F23" s="16">
        <v>-167</v>
      </c>
      <c r="G23" s="16">
        <v>-175</v>
      </c>
      <c r="H23" s="16">
        <v>3.0004983348030736</v>
      </c>
      <c r="I23" s="17">
        <f t="shared" si="0"/>
        <v>2.0205581300593116</v>
      </c>
      <c r="J23" s="16" t="s">
        <v>152</v>
      </c>
      <c r="K23" s="19">
        <v>10</v>
      </c>
      <c r="L23" s="19" t="str" cm="1">
        <f t="array" ref="L23">_xlfn.IFS(AND(M23="Brahmaputra"), "Himalaya",   AND(C23&lt;95,D23&gt;32.5), "Central Tibet",   AND(C23&gt;95,D23&gt;36), "Northeast Tibet",   AND(M23="Mekong"), "Yunnan",   AND(M23="Yangtze",C23&gt;95,D23&lt;36), "Yunnan")</f>
        <v>Central Tibet</v>
      </c>
      <c r="M23" s="26" t="s">
        <v>379</v>
      </c>
      <c r="N23" s="19">
        <v>4677</v>
      </c>
      <c r="O23" s="20" t="s">
        <v>9</v>
      </c>
      <c r="P23" s="3" t="s">
        <v>362</v>
      </c>
      <c r="Q23" s="13"/>
      <c r="R23" s="13"/>
      <c r="T23" s="3"/>
      <c r="U23" s="21"/>
    </row>
    <row r="24" spans="2:21">
      <c r="B24" s="18" t="s">
        <v>281</v>
      </c>
      <c r="C24" s="27">
        <v>92.358199999999997</v>
      </c>
      <c r="D24" s="27">
        <v>34.103099999999998</v>
      </c>
      <c r="E24" s="16">
        <v>-179</v>
      </c>
      <c r="F24" s="16">
        <v>-194</v>
      </c>
      <c r="G24" s="16">
        <v>-200</v>
      </c>
      <c r="H24" s="16">
        <v>3.0004983348030736</v>
      </c>
      <c r="I24" s="17">
        <f t="shared" si="0"/>
        <v>2.0205581300593116</v>
      </c>
      <c r="J24" s="16" t="s">
        <v>152</v>
      </c>
      <c r="K24" s="19">
        <v>11</v>
      </c>
      <c r="L24" s="19" t="str" cm="1">
        <f t="array" ref="L24">_xlfn.IFS(AND(M24="Brahmaputra"), "Himalaya",   AND(C24&lt;95,D24&gt;32.5), "Central Tibet",   AND(C24&gt;95,D24&gt;36), "Northeast Tibet",   AND(M24="Mekong"), "Yunnan",   AND(M24="Yangtze",C24&gt;95,D24&lt;36), "Yunnan")</f>
        <v>Central Tibet</v>
      </c>
      <c r="M24" s="26" t="s">
        <v>379</v>
      </c>
      <c r="N24" s="19">
        <v>4726</v>
      </c>
      <c r="O24" s="20" t="s">
        <v>10</v>
      </c>
      <c r="P24" s="3" t="s">
        <v>362</v>
      </c>
      <c r="Q24" s="13"/>
      <c r="R24" s="13"/>
      <c r="T24" s="3"/>
      <c r="U24" s="21"/>
    </row>
    <row r="25" spans="2:21">
      <c r="B25" s="18" t="s">
        <v>282</v>
      </c>
      <c r="C25" s="27">
        <v>92.074799999999996</v>
      </c>
      <c r="D25" s="27">
        <v>33.601999999999997</v>
      </c>
      <c r="E25" s="16"/>
      <c r="F25" s="16">
        <v>-175</v>
      </c>
      <c r="G25" s="16">
        <v>-185</v>
      </c>
      <c r="H25" s="16">
        <v>3.0004983348030736</v>
      </c>
      <c r="I25" s="17">
        <f t="shared" si="0"/>
        <v>2.0205581300593116</v>
      </c>
      <c r="J25" s="16" t="s">
        <v>152</v>
      </c>
      <c r="K25" s="19">
        <v>12</v>
      </c>
      <c r="L25" s="19" t="str" cm="1">
        <f t="array" ref="L25">_xlfn.IFS(AND(M25="Brahmaputra"), "Himalaya",   AND(C25&lt;95,D25&gt;32.5), "Central Tibet",   AND(C25&gt;95,D25&gt;36), "Northeast Tibet",   AND(M25="Mekong"), "Yunnan",   AND(M25="Yangtze",C25&gt;95,D25&lt;36), "Yunnan")</f>
        <v>Central Tibet</v>
      </c>
      <c r="M25" s="26" t="s">
        <v>379</v>
      </c>
      <c r="N25" s="19">
        <v>4712</v>
      </c>
      <c r="O25" s="20" t="s">
        <v>11</v>
      </c>
      <c r="P25" s="3" t="s">
        <v>362</v>
      </c>
      <c r="Q25" s="13"/>
      <c r="R25" s="13"/>
      <c r="T25" s="3"/>
      <c r="U25" s="21"/>
    </row>
    <row r="26" spans="2:21">
      <c r="B26" s="18" t="s">
        <v>283</v>
      </c>
      <c r="C26" s="27">
        <v>91.859700000000004</v>
      </c>
      <c r="D26" s="27">
        <v>33.153799999999997</v>
      </c>
      <c r="E26" s="16">
        <v>-174</v>
      </c>
      <c r="F26" s="16">
        <v>-182</v>
      </c>
      <c r="G26" s="16">
        <v>-187</v>
      </c>
      <c r="H26" s="16">
        <v>3.0004983348030736</v>
      </c>
      <c r="I26" s="17">
        <f t="shared" si="0"/>
        <v>2.0205581300593116</v>
      </c>
      <c r="J26" s="16" t="s">
        <v>152</v>
      </c>
      <c r="K26" s="19">
        <v>13</v>
      </c>
      <c r="L26" s="19" t="str" cm="1">
        <f t="array" ref="L26">_xlfn.IFS(AND(M26="Brahmaputra"), "Himalaya",   AND(C26&lt;95,D26&gt;32.5), "Central Tibet",   AND(C26&gt;95,D26&gt;36), "Northeast Tibet",   AND(M26="Mekong"), "Yunnan",   AND(M26="Yangtze",C26&gt;95,D26&lt;36), "Yunnan")</f>
        <v>Central Tibet</v>
      </c>
      <c r="M26" s="26" t="s">
        <v>379</v>
      </c>
      <c r="N26" s="19">
        <v>4869</v>
      </c>
      <c r="O26" s="20" t="s">
        <v>12</v>
      </c>
      <c r="P26" s="3" t="s">
        <v>362</v>
      </c>
      <c r="Q26" s="13"/>
      <c r="R26" s="13"/>
      <c r="T26" s="3"/>
      <c r="U26" s="21"/>
    </row>
    <row r="27" spans="2:21">
      <c r="B27" s="18" t="s">
        <v>284</v>
      </c>
      <c r="C27" s="27">
        <v>91.9726</v>
      </c>
      <c r="D27" s="27">
        <v>32.920900000000003</v>
      </c>
      <c r="E27" s="16">
        <v>-182</v>
      </c>
      <c r="F27" s="16">
        <v>-194</v>
      </c>
      <c r="G27" s="16">
        <v>-209</v>
      </c>
      <c r="H27" s="16">
        <v>3.0004983348030736</v>
      </c>
      <c r="I27" s="17">
        <f t="shared" si="0"/>
        <v>2.0205581300593116</v>
      </c>
      <c r="J27" s="16" t="s">
        <v>152</v>
      </c>
      <c r="K27" s="19">
        <v>14</v>
      </c>
      <c r="L27" s="19" t="str" cm="1">
        <f t="array" ref="L27">_xlfn.IFS(AND(M27="Brahmaputra"), "Himalaya",   AND(C27&lt;95,D27&gt;32.5), "Central Tibet",   AND(C27&gt;95,D27&gt;36), "Northeast Tibet",   AND(M27="Mekong"), "Yunnan",   AND(M27="Yangtze",C27&gt;95,D27&lt;36), "Yunnan")</f>
        <v>Central Tibet</v>
      </c>
      <c r="M27" s="26" t="s">
        <v>379</v>
      </c>
      <c r="N27" s="19">
        <v>5155</v>
      </c>
      <c r="O27" s="20" t="s">
        <v>13</v>
      </c>
      <c r="P27" s="3" t="s">
        <v>362</v>
      </c>
      <c r="Q27" s="13"/>
      <c r="R27" s="13"/>
      <c r="T27" s="3"/>
      <c r="U27" s="21"/>
    </row>
    <row r="28" spans="2:21">
      <c r="B28" s="18" t="s">
        <v>285</v>
      </c>
      <c r="C28" s="27">
        <v>91.9178</v>
      </c>
      <c r="D28" s="27">
        <v>32.882800000000003</v>
      </c>
      <c r="E28" s="16">
        <v>-187</v>
      </c>
      <c r="F28" s="16">
        <v>-203</v>
      </c>
      <c r="G28" s="16">
        <v>-206</v>
      </c>
      <c r="H28" s="16">
        <v>3.0004983348030736</v>
      </c>
      <c r="I28" s="17">
        <f t="shared" si="0"/>
        <v>2.0205581300593116</v>
      </c>
      <c r="J28" s="16" t="s">
        <v>152</v>
      </c>
      <c r="K28" s="19">
        <v>15</v>
      </c>
      <c r="L28" s="19" t="str" cm="1">
        <f t="array" ref="L28">_xlfn.IFS(AND(M28="Brahmaputra"), "Himalaya",   AND(C28&lt;95,D28&gt;32.5), "Central Tibet",   AND(C28&gt;95,D28&gt;36), "Northeast Tibet",   AND(M28="Mekong"), "Yunnan",   AND(M28="Yangtze",C28&gt;95,D28&lt;36), "Yunnan")</f>
        <v>Central Tibet</v>
      </c>
      <c r="M28" s="26" t="s">
        <v>379</v>
      </c>
      <c r="N28" s="19">
        <v>5201</v>
      </c>
      <c r="O28" s="20" t="s">
        <v>14</v>
      </c>
      <c r="P28" s="3" t="s">
        <v>362</v>
      </c>
      <c r="Q28" s="13"/>
      <c r="R28" s="13"/>
      <c r="T28" s="3"/>
      <c r="U28" s="21"/>
    </row>
    <row r="29" spans="2:21">
      <c r="B29" s="18" t="s">
        <v>286</v>
      </c>
      <c r="C29" s="27">
        <v>91.781300000000002</v>
      </c>
      <c r="D29" s="27">
        <v>31.753</v>
      </c>
      <c r="E29" s="16">
        <v>-205</v>
      </c>
      <c r="F29" s="16">
        <v>-204</v>
      </c>
      <c r="G29" s="16">
        <v>-211</v>
      </c>
      <c r="H29" s="16">
        <v>3.0004983348030736</v>
      </c>
      <c r="I29" s="17">
        <f t="shared" si="0"/>
        <v>2.0205581300593116</v>
      </c>
      <c r="J29" s="16" t="s">
        <v>152</v>
      </c>
      <c r="K29" s="19">
        <v>16</v>
      </c>
      <c r="L29" s="19" t="str" cm="1">
        <f t="array" ref="L29">_xlfn.IFS(AND(M29="Brahmaputra"), "Himalaya",   AND(C29&lt;95,D29&gt;32.5), "Central Tibet",   AND(C29&gt;95,D29&gt;36), "Northeast Tibet",   AND(M29="Mekong"), "Yunnan",   AND(M29="Yangtze",C29&gt;95,D29&lt;36), "Yunnan")</f>
        <v>Himalaya</v>
      </c>
      <c r="M29" s="26" t="s">
        <v>378</v>
      </c>
      <c r="N29" s="19">
        <v>4690</v>
      </c>
      <c r="O29" s="20" t="s">
        <v>15</v>
      </c>
      <c r="P29" s="3" t="s">
        <v>362</v>
      </c>
      <c r="Q29" s="13"/>
      <c r="R29" s="13"/>
      <c r="T29" s="3"/>
      <c r="U29" s="21"/>
    </row>
    <row r="30" spans="2:21">
      <c r="B30" s="18" t="s">
        <v>287</v>
      </c>
      <c r="C30" s="27">
        <v>91.880600000000001</v>
      </c>
      <c r="D30" s="27">
        <v>31.326499999999999</v>
      </c>
      <c r="E30" s="16">
        <v>-189</v>
      </c>
      <c r="F30" s="16">
        <v>-209</v>
      </c>
      <c r="G30" s="16">
        <v>-222</v>
      </c>
      <c r="H30" s="16">
        <v>3.0004983348030736</v>
      </c>
      <c r="I30" s="17">
        <f t="shared" si="0"/>
        <v>2.0205581300593116</v>
      </c>
      <c r="J30" s="16" t="s">
        <v>152</v>
      </c>
      <c r="K30" s="19">
        <v>17</v>
      </c>
      <c r="L30" s="19" t="str" cm="1">
        <f t="array" ref="L30">_xlfn.IFS(AND(M30="Brahmaputra"), "Himalaya",   AND(C30&lt;95,D30&gt;32.5), "Central Tibet",   AND(C30&gt;95,D30&gt;36), "Northeast Tibet",   AND(M30="Mekong"), "Yunnan",   AND(M30="Yangtze",C30&gt;95,D30&lt;36), "Yunnan")</f>
        <v>Himalaya</v>
      </c>
      <c r="M30" s="26" t="s">
        <v>378</v>
      </c>
      <c r="N30" s="19">
        <v>4518</v>
      </c>
      <c r="O30" s="20" t="s">
        <v>16</v>
      </c>
      <c r="P30" s="3" t="s">
        <v>362</v>
      </c>
      <c r="Q30" s="13"/>
      <c r="R30" s="13"/>
      <c r="T30" s="3"/>
      <c r="U30" s="21"/>
    </row>
    <row r="31" spans="2:21">
      <c r="B31" s="18" t="s">
        <v>288</v>
      </c>
      <c r="C31" s="27">
        <v>91.655600000000007</v>
      </c>
      <c r="D31" s="27">
        <v>30.964300000000001</v>
      </c>
      <c r="E31" s="16">
        <v>-191</v>
      </c>
      <c r="F31" s="16">
        <v>-214</v>
      </c>
      <c r="G31" s="16">
        <v>-232</v>
      </c>
      <c r="H31" s="16">
        <v>3.0004983348030736</v>
      </c>
      <c r="I31" s="17">
        <f t="shared" si="0"/>
        <v>2.0205581300593116</v>
      </c>
      <c r="J31" s="16" t="s">
        <v>152</v>
      </c>
      <c r="K31" s="19">
        <v>18</v>
      </c>
      <c r="L31" s="19" t="str" cm="1">
        <f t="array" ref="L31">_xlfn.IFS(AND(M31="Brahmaputra"), "Himalaya",   AND(C31&lt;95,D31&gt;32.5), "Central Tibet",   AND(C31&gt;95,D31&gt;36), "Northeast Tibet",   AND(M31="Mekong"), "Yunnan",   AND(M31="Yangtze",C31&gt;95,D31&lt;36), "Yunnan")</f>
        <v>Himalaya</v>
      </c>
      <c r="M31" s="26" t="s">
        <v>378</v>
      </c>
      <c r="N31" s="19">
        <v>4731</v>
      </c>
      <c r="O31" s="20" t="s">
        <v>17</v>
      </c>
      <c r="P31" s="3" t="s">
        <v>362</v>
      </c>
      <c r="Q31" s="13"/>
      <c r="R31" s="13"/>
      <c r="T31" s="3"/>
      <c r="U31" s="21"/>
    </row>
    <row r="32" spans="2:21">
      <c r="B32" s="18" t="s">
        <v>289</v>
      </c>
      <c r="C32" s="27">
        <v>91.521799999999999</v>
      </c>
      <c r="D32" s="27">
        <v>30.604700000000001</v>
      </c>
      <c r="E32" s="16">
        <v>-239</v>
      </c>
      <c r="F32" s="16">
        <v>-241</v>
      </c>
      <c r="G32" s="16">
        <v>-247</v>
      </c>
      <c r="H32" s="16">
        <v>3.0004983348030736</v>
      </c>
      <c r="I32" s="17">
        <f t="shared" si="0"/>
        <v>2.0205581300593116</v>
      </c>
      <c r="J32" s="16" t="s">
        <v>152</v>
      </c>
      <c r="K32" s="19">
        <v>19</v>
      </c>
      <c r="L32" s="19" t="str" cm="1">
        <f t="array" ref="L32">_xlfn.IFS(AND(M32="Brahmaputra"), "Himalaya",   AND(C32&lt;95,D32&gt;32.5), "Central Tibet",   AND(C32&gt;95,D32&gt;36), "Northeast Tibet",   AND(M32="Mekong"), "Yunnan",   AND(M32="Yangtze",C32&gt;95,D32&lt;36), "Yunnan")</f>
        <v>Himalaya</v>
      </c>
      <c r="M32" s="26" t="s">
        <v>378</v>
      </c>
      <c r="N32" s="19">
        <v>4595</v>
      </c>
      <c r="O32" s="20" t="s">
        <v>18</v>
      </c>
      <c r="P32" s="3" t="s">
        <v>362</v>
      </c>
      <c r="Q32" s="13"/>
      <c r="R32" s="13"/>
      <c r="T32" s="3"/>
      <c r="U32" s="21"/>
    </row>
    <row r="33" spans="1:21">
      <c r="B33" s="18" t="s">
        <v>290</v>
      </c>
      <c r="C33" s="27">
        <v>90.544700000000006</v>
      </c>
      <c r="D33" s="27">
        <v>30.1066</v>
      </c>
      <c r="E33" s="16">
        <v>-213</v>
      </c>
      <c r="F33" s="16">
        <v>-211</v>
      </c>
      <c r="G33" s="16">
        <v>-221</v>
      </c>
      <c r="H33" s="16">
        <v>3.0004983348030736</v>
      </c>
      <c r="I33" s="17">
        <f t="shared" si="0"/>
        <v>2.0205581300593116</v>
      </c>
      <c r="J33" s="16" t="s">
        <v>152</v>
      </c>
      <c r="K33" s="19">
        <v>20</v>
      </c>
      <c r="L33" s="19" t="str" cm="1">
        <f t="array" ref="L33">_xlfn.IFS(AND(M33="Brahmaputra"), "Himalaya",   AND(C33&lt;95,D33&gt;32.5), "Central Tibet",   AND(C33&gt;95,D33&gt;36), "Northeast Tibet",   AND(M33="Mekong"), "Yunnan",   AND(M33="Yangtze",C33&gt;95,D33&lt;36), "Yunnan")</f>
        <v>Himalaya</v>
      </c>
      <c r="M33" s="26" t="s">
        <v>378</v>
      </c>
      <c r="N33" s="19">
        <v>4236</v>
      </c>
      <c r="O33" s="20" t="s">
        <v>19</v>
      </c>
      <c r="P33" s="3" t="s">
        <v>362</v>
      </c>
      <c r="Q33" s="13"/>
      <c r="R33" s="13"/>
      <c r="T33" s="3"/>
      <c r="U33" s="21"/>
    </row>
    <row r="34" spans="1:21">
      <c r="A34" s="3" t="s">
        <v>406</v>
      </c>
      <c r="B34" s="18" t="s">
        <v>291</v>
      </c>
      <c r="C34" s="27">
        <v>101.53</v>
      </c>
      <c r="D34" s="27">
        <v>37.200000000000003</v>
      </c>
      <c r="E34" s="16">
        <v>-143</v>
      </c>
      <c r="F34" s="16">
        <v>-148.5</v>
      </c>
      <c r="G34" s="16">
        <v>-154</v>
      </c>
      <c r="H34" s="16">
        <v>3.0004983348030736</v>
      </c>
      <c r="I34" s="17">
        <f t="shared" si="0"/>
        <v>2.0205581300593116</v>
      </c>
      <c r="J34" s="16" t="s">
        <v>152</v>
      </c>
      <c r="K34" s="19">
        <v>21</v>
      </c>
      <c r="L34" s="19" t="str" cm="1">
        <f t="array" ref="L34">_xlfn.IFS(AND(M34="Brahmaputra"), "Himalaya",   AND(C34&lt;95,D34&gt;32.5), "Central Tibet",   AND(C34&gt;95,D34&gt;36), "Northeast Tibet",   AND(M34="Mekong"), "Yunnan",   AND(M34="Yangtze",C34&gt;95,D34&lt;36), "Yunnan")</f>
        <v>Northeast Tibet</v>
      </c>
      <c r="M34" s="26" t="s">
        <v>379</v>
      </c>
      <c r="N34" s="19">
        <v>2840</v>
      </c>
      <c r="O34" s="20" t="s">
        <v>20</v>
      </c>
      <c r="P34" s="3" t="s">
        <v>362</v>
      </c>
      <c r="Q34" s="13"/>
      <c r="R34" s="13"/>
      <c r="T34" s="3"/>
      <c r="U34" s="21"/>
    </row>
    <row r="35" spans="1:21">
      <c r="A35" s="3" t="s">
        <v>406</v>
      </c>
      <c r="B35" s="18" t="s">
        <v>292</v>
      </c>
      <c r="C35" s="27">
        <v>101.5087</v>
      </c>
      <c r="D35" s="27">
        <v>37.235700000000001</v>
      </c>
      <c r="E35" s="16">
        <v>-157</v>
      </c>
      <c r="F35" s="16">
        <v>-160</v>
      </c>
      <c r="G35" s="16">
        <v>-152.9</v>
      </c>
      <c r="H35" s="16">
        <v>3.0004983348030736</v>
      </c>
      <c r="I35" s="17">
        <f t="shared" si="0"/>
        <v>2.0205581300593116</v>
      </c>
      <c r="J35" s="16" t="s">
        <v>152</v>
      </c>
      <c r="K35" s="19">
        <v>22</v>
      </c>
      <c r="L35" s="19" t="str" cm="1">
        <f t="array" ref="L35">_xlfn.IFS(AND(M35="Brahmaputra"), "Himalaya",   AND(C35&lt;95,D35&gt;32.5), "Central Tibet",   AND(C35&gt;95,D35&gt;36), "Northeast Tibet",   AND(M35="Mekong"), "Yunnan",   AND(M35="Yangtze",C35&gt;95,D35&lt;36), "Yunnan")</f>
        <v>Northeast Tibet</v>
      </c>
      <c r="M35" s="26" t="s">
        <v>379</v>
      </c>
      <c r="N35" s="19">
        <v>2925</v>
      </c>
      <c r="O35" s="20" t="s">
        <v>21</v>
      </c>
      <c r="P35" s="3" t="s">
        <v>362</v>
      </c>
      <c r="Q35" s="13"/>
      <c r="R35" s="13"/>
      <c r="T35" s="3"/>
      <c r="U35" s="21"/>
    </row>
    <row r="36" spans="1:21">
      <c r="A36" s="3" t="s">
        <v>406</v>
      </c>
      <c r="B36" s="18" t="s">
        <v>293</v>
      </c>
      <c r="C36" s="27">
        <v>101.4152</v>
      </c>
      <c r="D36" s="27">
        <v>37.2714</v>
      </c>
      <c r="E36" s="16">
        <v>-144</v>
      </c>
      <c r="F36" s="16">
        <v>-152.5</v>
      </c>
      <c r="G36" s="16">
        <v>-157.9</v>
      </c>
      <c r="H36" s="16">
        <v>3.0004983348030736</v>
      </c>
      <c r="I36" s="17">
        <f t="shared" si="0"/>
        <v>2.0205581300593116</v>
      </c>
      <c r="J36" s="16" t="s">
        <v>152</v>
      </c>
      <c r="K36" s="19">
        <v>23</v>
      </c>
      <c r="L36" s="19" t="str" cm="1">
        <f t="array" ref="L36">_xlfn.IFS(AND(M36="Brahmaputra"), "Himalaya",   AND(C36&lt;95,D36&gt;32.5), "Central Tibet",   AND(C36&gt;95,D36&gt;36), "Northeast Tibet",   AND(M36="Mekong"), "Yunnan",   AND(M36="Yangtze",C36&gt;95,D36&lt;36), "Yunnan")</f>
        <v>Northeast Tibet</v>
      </c>
      <c r="M36" s="26" t="s">
        <v>379</v>
      </c>
      <c r="N36" s="19">
        <v>3058</v>
      </c>
      <c r="O36" s="20" t="s">
        <v>22</v>
      </c>
      <c r="P36" s="3" t="s">
        <v>362</v>
      </c>
      <c r="Q36" s="13"/>
      <c r="R36" s="13"/>
      <c r="T36" s="3"/>
      <c r="U36" s="21"/>
    </row>
    <row r="37" spans="1:21">
      <c r="A37" s="3" t="s">
        <v>406</v>
      </c>
      <c r="B37" s="18" t="s">
        <v>294</v>
      </c>
      <c r="C37" s="27">
        <v>101.4141</v>
      </c>
      <c r="D37" s="27">
        <v>37.293500000000002</v>
      </c>
      <c r="E37" s="16">
        <v>-145</v>
      </c>
      <c r="F37" s="16">
        <v>-155.6</v>
      </c>
      <c r="G37" s="16">
        <v>-161.4</v>
      </c>
      <c r="H37" s="16">
        <v>3.0004983348030736</v>
      </c>
      <c r="I37" s="17">
        <f t="shared" si="0"/>
        <v>2.0205581300593116</v>
      </c>
      <c r="J37" s="16" t="s">
        <v>152</v>
      </c>
      <c r="K37" s="19">
        <v>24</v>
      </c>
      <c r="L37" s="19" t="str" cm="1">
        <f t="array" ref="L37">_xlfn.IFS(AND(M37="Brahmaputra"), "Himalaya",   AND(C37&lt;95,D37&gt;32.5), "Central Tibet",   AND(C37&gt;95,D37&gt;36), "Northeast Tibet",   AND(M37="Mekong"), "Yunnan",   AND(M37="Yangtze",C37&gt;95,D37&lt;36), "Yunnan")</f>
        <v>Northeast Tibet</v>
      </c>
      <c r="M37" s="26" t="s">
        <v>379</v>
      </c>
      <c r="N37" s="19">
        <v>3203</v>
      </c>
      <c r="O37" s="20" t="s">
        <v>23</v>
      </c>
      <c r="P37" s="3" t="s">
        <v>362</v>
      </c>
      <c r="Q37" s="13"/>
      <c r="R37" s="13"/>
      <c r="T37" s="3"/>
      <c r="U37" s="21"/>
    </row>
    <row r="38" spans="1:21">
      <c r="A38" s="3" t="s">
        <v>406</v>
      </c>
      <c r="B38" s="18" t="s">
        <v>295</v>
      </c>
      <c r="C38" s="27">
        <v>101.4152</v>
      </c>
      <c r="D38" s="27">
        <v>37.323500000000003</v>
      </c>
      <c r="E38" s="16">
        <v>-148</v>
      </c>
      <c r="F38" s="16">
        <v>-159.69999999999999</v>
      </c>
      <c r="G38" s="16">
        <v>-165.7</v>
      </c>
      <c r="H38" s="16">
        <v>3.0004983348030736</v>
      </c>
      <c r="I38" s="17">
        <f t="shared" si="0"/>
        <v>2.0205581300593116</v>
      </c>
      <c r="J38" s="16" t="s">
        <v>152</v>
      </c>
      <c r="K38" s="19">
        <v>25</v>
      </c>
      <c r="L38" s="19" t="str" cm="1">
        <f t="array" ref="L38">_xlfn.IFS(AND(M38="Brahmaputra"), "Himalaya",   AND(C38&lt;95,D38&gt;32.5), "Central Tibet",   AND(C38&gt;95,D38&gt;36), "Northeast Tibet",   AND(M38="Mekong"), "Yunnan",   AND(M38="Yangtze",C38&gt;95,D38&lt;36), "Yunnan")</f>
        <v>Northeast Tibet</v>
      </c>
      <c r="M38" s="26" t="s">
        <v>379</v>
      </c>
      <c r="N38" s="19">
        <v>3454</v>
      </c>
      <c r="O38" s="20" t="s">
        <v>24</v>
      </c>
      <c r="P38" s="3" t="s">
        <v>362</v>
      </c>
      <c r="Q38" s="13"/>
      <c r="R38" s="13"/>
      <c r="T38" s="3"/>
      <c r="U38" s="21"/>
    </row>
    <row r="39" spans="1:21">
      <c r="A39" s="3" t="s">
        <v>406</v>
      </c>
      <c r="B39" s="18" t="s">
        <v>296</v>
      </c>
      <c r="C39" s="27">
        <v>101.4058</v>
      </c>
      <c r="D39" s="27">
        <v>37.326500000000003</v>
      </c>
      <c r="E39" s="16">
        <v>-168</v>
      </c>
      <c r="F39" s="16">
        <v>-169.5</v>
      </c>
      <c r="G39" s="16">
        <v>-175</v>
      </c>
      <c r="H39" s="16">
        <v>3.0004983348030736</v>
      </c>
      <c r="I39" s="17">
        <f t="shared" si="0"/>
        <v>2.0205581300593116</v>
      </c>
      <c r="J39" s="16" t="s">
        <v>152</v>
      </c>
      <c r="K39" s="19">
        <v>26</v>
      </c>
      <c r="L39" s="19" t="str" cm="1">
        <f t="array" ref="L39">_xlfn.IFS(AND(M39="Brahmaputra"), "Himalaya",   AND(C39&lt;95,D39&gt;32.5), "Central Tibet",   AND(C39&gt;95,D39&gt;36), "Northeast Tibet",   AND(M39="Mekong"), "Yunnan",   AND(M39="Yangtze",C39&gt;95,D39&lt;36), "Yunnan")</f>
        <v>Northeast Tibet</v>
      </c>
      <c r="M39" s="26" t="s">
        <v>379</v>
      </c>
      <c r="N39" s="19">
        <v>3713</v>
      </c>
      <c r="O39" s="20" t="s">
        <v>25</v>
      </c>
      <c r="P39" s="3" t="s">
        <v>362</v>
      </c>
      <c r="Q39" s="13"/>
      <c r="R39" s="13"/>
      <c r="T39" s="3"/>
      <c r="U39" s="21"/>
    </row>
    <row r="40" spans="1:21">
      <c r="A40" s="3" t="s">
        <v>406</v>
      </c>
      <c r="B40" s="18" t="s">
        <v>297</v>
      </c>
      <c r="C40" s="27">
        <v>101.4059</v>
      </c>
      <c r="D40" s="27">
        <v>37.371000000000002</v>
      </c>
      <c r="E40" s="16">
        <v>-147</v>
      </c>
      <c r="F40" s="16">
        <v>-160.4</v>
      </c>
      <c r="G40" s="16">
        <v>-175</v>
      </c>
      <c r="H40" s="16">
        <v>3.0004983348030736</v>
      </c>
      <c r="I40" s="17">
        <f t="shared" si="0"/>
        <v>2.0205581300593116</v>
      </c>
      <c r="J40" s="16" t="s">
        <v>152</v>
      </c>
      <c r="K40" s="19">
        <v>27</v>
      </c>
      <c r="L40" s="19" t="str" cm="1">
        <f t="array" ref="L40">_xlfn.IFS(AND(M40="Brahmaputra"), "Himalaya",   AND(C40&lt;95,D40&gt;32.5), "Central Tibet",   AND(C40&gt;95,D40&gt;36), "Northeast Tibet",   AND(M40="Mekong"), "Yunnan",   AND(M40="Yangtze",C40&gt;95,D40&lt;36), "Yunnan")</f>
        <v>Northeast Tibet</v>
      </c>
      <c r="M40" s="26" t="s">
        <v>379</v>
      </c>
      <c r="N40" s="19">
        <v>3537</v>
      </c>
      <c r="O40" s="20" t="s">
        <v>26</v>
      </c>
      <c r="P40" s="3" t="s">
        <v>362</v>
      </c>
      <c r="Q40" s="13"/>
      <c r="R40" s="13"/>
      <c r="T40" s="3"/>
      <c r="U40" s="21"/>
    </row>
    <row r="41" spans="1:21">
      <c r="A41" s="3" t="s">
        <v>406</v>
      </c>
      <c r="B41" s="18" t="s">
        <v>298</v>
      </c>
      <c r="C41" s="27">
        <v>99.991600000000005</v>
      </c>
      <c r="D41" s="27">
        <v>38.232999999999997</v>
      </c>
      <c r="E41" s="16">
        <v>-158</v>
      </c>
      <c r="F41" s="16">
        <v>-163.19999999999999</v>
      </c>
      <c r="G41" s="16">
        <v>-151.1</v>
      </c>
      <c r="H41" s="16">
        <v>3.0004983348030736</v>
      </c>
      <c r="I41" s="17">
        <f t="shared" si="0"/>
        <v>2.0205581300593116</v>
      </c>
      <c r="J41" s="16" t="s">
        <v>152</v>
      </c>
      <c r="K41" s="19">
        <v>28</v>
      </c>
      <c r="L41" s="19" t="str" cm="1">
        <f t="array" ref="L41">_xlfn.IFS(AND(M41="Brahmaputra"), "Himalaya",   AND(C41&lt;95,D41&gt;32.5), "Central Tibet",   AND(C41&gt;95,D41&gt;36), "Northeast Tibet",   AND(M41="Mekong"), "Yunnan",   AND(M41="Yangtze",C41&gt;95,D41&lt;36), "Yunnan")</f>
        <v>Northeast Tibet</v>
      </c>
      <c r="M41" s="26" t="s">
        <v>379</v>
      </c>
      <c r="N41" s="19">
        <v>2815</v>
      </c>
      <c r="O41" s="20" t="s">
        <v>27</v>
      </c>
      <c r="P41" s="3" t="s">
        <v>362</v>
      </c>
      <c r="Q41" s="13"/>
      <c r="R41" s="13"/>
      <c r="T41" s="3"/>
      <c r="U41" s="21"/>
    </row>
    <row r="42" spans="1:21">
      <c r="A42" s="3" t="s">
        <v>406</v>
      </c>
      <c r="B42" s="18" t="s">
        <v>299</v>
      </c>
      <c r="C42" s="27">
        <v>99.957599999999999</v>
      </c>
      <c r="D42" s="27">
        <v>38.246699999999997</v>
      </c>
      <c r="E42" s="16">
        <v>-154</v>
      </c>
      <c r="F42" s="16">
        <v>-155</v>
      </c>
      <c r="G42" s="16">
        <v>-163</v>
      </c>
      <c r="H42" s="16">
        <v>3.0004983348030736</v>
      </c>
      <c r="I42" s="17">
        <f t="shared" si="0"/>
        <v>2.0205581300593116</v>
      </c>
      <c r="J42" s="16" t="s">
        <v>152</v>
      </c>
      <c r="K42" s="19">
        <v>29</v>
      </c>
      <c r="L42" s="19" t="str" cm="1">
        <f t="array" ref="L42">_xlfn.IFS(AND(M42="Brahmaputra"), "Himalaya",   AND(C42&lt;95,D42&gt;32.5), "Central Tibet",   AND(C42&gt;95,D42&gt;36), "Northeast Tibet",   AND(M42="Mekong"), "Yunnan",   AND(M42="Yangtze",C42&gt;95,D42&lt;36), "Yunnan")</f>
        <v>Northeast Tibet</v>
      </c>
      <c r="M42" s="26" t="s">
        <v>379</v>
      </c>
      <c r="N42" s="19">
        <v>2859</v>
      </c>
      <c r="O42" s="20" t="s">
        <v>28</v>
      </c>
      <c r="P42" s="3" t="s">
        <v>362</v>
      </c>
      <c r="Q42" s="13"/>
      <c r="R42" s="13"/>
      <c r="T42" s="3"/>
      <c r="U42" s="21"/>
    </row>
    <row r="43" spans="1:21">
      <c r="A43" s="3" t="s">
        <v>406</v>
      </c>
      <c r="B43" s="18" t="s">
        <v>300</v>
      </c>
      <c r="C43" s="27">
        <v>99.991600000000005</v>
      </c>
      <c r="D43" s="27">
        <v>38.232999999999997</v>
      </c>
      <c r="E43" s="16">
        <v>-164</v>
      </c>
      <c r="F43" s="16">
        <v>-167.8</v>
      </c>
      <c r="G43" s="16">
        <v>-149.30000000000001</v>
      </c>
      <c r="H43" s="16">
        <v>3.0004983348030736</v>
      </c>
      <c r="I43" s="17">
        <f t="shared" si="0"/>
        <v>2.0205581300593116</v>
      </c>
      <c r="J43" s="16" t="s">
        <v>152</v>
      </c>
      <c r="K43" s="19">
        <v>30</v>
      </c>
      <c r="L43" s="19" t="str" cm="1">
        <f t="array" ref="L43">_xlfn.IFS(AND(M43="Brahmaputra"), "Himalaya",   AND(C43&lt;95,D43&gt;32.5), "Central Tibet",   AND(C43&gt;95,D43&gt;36), "Northeast Tibet",   AND(M43="Mekong"), "Yunnan",   AND(M43="Yangtze",C43&gt;95,D43&lt;36), "Yunnan")</f>
        <v>Northeast Tibet</v>
      </c>
      <c r="M43" s="26" t="s">
        <v>379</v>
      </c>
      <c r="N43" s="19">
        <v>2904</v>
      </c>
      <c r="O43" s="20" t="s">
        <v>29</v>
      </c>
      <c r="P43" s="3" t="s">
        <v>362</v>
      </c>
      <c r="Q43" s="13"/>
      <c r="R43" s="13"/>
      <c r="T43" s="3"/>
      <c r="U43" s="21"/>
    </row>
    <row r="44" spans="1:21">
      <c r="A44" s="3" t="s">
        <v>406</v>
      </c>
      <c r="B44" s="18" t="s">
        <v>301</v>
      </c>
      <c r="C44" s="27">
        <v>99.876499999999993</v>
      </c>
      <c r="D44" s="27">
        <v>38.276200000000003</v>
      </c>
      <c r="E44" s="16">
        <v>-161</v>
      </c>
      <c r="F44" s="16">
        <v>-156</v>
      </c>
      <c r="G44" s="16">
        <v>-164</v>
      </c>
      <c r="H44" s="16">
        <v>3.0004983348030736</v>
      </c>
      <c r="I44" s="17">
        <f t="shared" si="0"/>
        <v>2.0205581300593116</v>
      </c>
      <c r="J44" s="16" t="s">
        <v>152</v>
      </c>
      <c r="K44" s="19">
        <v>31</v>
      </c>
      <c r="L44" s="19" t="str" cm="1">
        <f t="array" ref="L44">_xlfn.IFS(AND(M44="Brahmaputra"), "Himalaya",   AND(C44&lt;95,D44&gt;32.5), "Central Tibet",   AND(C44&gt;95,D44&gt;36), "Northeast Tibet",   AND(M44="Mekong"), "Yunnan",   AND(M44="Yangtze",C44&gt;95,D44&lt;36), "Yunnan")</f>
        <v>Northeast Tibet</v>
      </c>
      <c r="M44" s="26" t="s">
        <v>379</v>
      </c>
      <c r="N44" s="19">
        <v>2969</v>
      </c>
      <c r="O44" s="20" t="s">
        <v>30</v>
      </c>
      <c r="P44" s="3" t="s">
        <v>362</v>
      </c>
      <c r="Q44" s="13"/>
      <c r="R44" s="13"/>
      <c r="T44" s="3"/>
      <c r="U44" s="21"/>
    </row>
    <row r="45" spans="1:21">
      <c r="A45" s="3" t="s">
        <v>406</v>
      </c>
      <c r="B45" s="18" t="s">
        <v>302</v>
      </c>
      <c r="C45" s="27">
        <v>99.738900000000001</v>
      </c>
      <c r="D45" s="27">
        <v>38.329500000000003</v>
      </c>
      <c r="E45" s="16">
        <v>-159</v>
      </c>
      <c r="F45" s="16">
        <v>-146</v>
      </c>
      <c r="G45" s="16">
        <v>-159</v>
      </c>
      <c r="H45" s="16">
        <v>3.0004983348030736</v>
      </c>
      <c r="I45" s="17">
        <f t="shared" si="0"/>
        <v>2.0205581300593116</v>
      </c>
      <c r="J45" s="16" t="s">
        <v>152</v>
      </c>
      <c r="K45" s="19">
        <v>32</v>
      </c>
      <c r="L45" s="19" t="str" cm="1">
        <f t="array" ref="L45">_xlfn.IFS(AND(M45="Brahmaputra"), "Himalaya",   AND(C45&lt;95,D45&gt;32.5), "Central Tibet",   AND(C45&gt;95,D45&gt;36), "Northeast Tibet",   AND(M45="Mekong"), "Yunnan",   AND(M45="Yangtze",C45&gt;95,D45&lt;36), "Yunnan")</f>
        <v>Northeast Tibet</v>
      </c>
      <c r="M45" s="26" t="s">
        <v>379</v>
      </c>
      <c r="N45" s="19">
        <v>3084</v>
      </c>
      <c r="O45" s="20" t="s">
        <v>31</v>
      </c>
      <c r="P45" s="3" t="s">
        <v>362</v>
      </c>
      <c r="Q45" s="13"/>
      <c r="R45" s="13"/>
      <c r="T45" s="3"/>
      <c r="U45" s="21"/>
    </row>
    <row r="46" spans="1:21">
      <c r="A46" s="3" t="s">
        <v>406</v>
      </c>
      <c r="B46" s="18" t="s">
        <v>303</v>
      </c>
      <c r="C46" s="27">
        <v>99.688000000000002</v>
      </c>
      <c r="D46" s="27">
        <v>38.380400000000002</v>
      </c>
      <c r="E46" s="16">
        <v>-163</v>
      </c>
      <c r="F46" s="16">
        <v>-163</v>
      </c>
      <c r="G46" s="16">
        <v>-170</v>
      </c>
      <c r="H46" s="16">
        <v>3.0004983348030736</v>
      </c>
      <c r="I46" s="17">
        <f t="shared" si="0"/>
        <v>2.0205581300593116</v>
      </c>
      <c r="J46" s="16" t="s">
        <v>152</v>
      </c>
      <c r="K46" s="19">
        <v>33</v>
      </c>
      <c r="L46" s="19" t="str" cm="1">
        <f t="array" ref="L46">_xlfn.IFS(AND(M46="Brahmaputra"), "Himalaya",   AND(C46&lt;95,D46&gt;32.5), "Central Tibet",   AND(C46&gt;95,D46&gt;36), "Northeast Tibet",   AND(M46="Mekong"), "Yunnan",   AND(M46="Yangtze",C46&gt;95,D46&lt;36), "Yunnan")</f>
        <v>Northeast Tibet</v>
      </c>
      <c r="M46" s="26" t="s">
        <v>379</v>
      </c>
      <c r="N46" s="19">
        <v>3137</v>
      </c>
      <c r="O46" s="20" t="s">
        <v>32</v>
      </c>
      <c r="P46" s="3" t="s">
        <v>362</v>
      </c>
      <c r="Q46" s="13"/>
      <c r="R46" s="13"/>
      <c r="T46" s="3"/>
      <c r="U46" s="21"/>
    </row>
    <row r="47" spans="1:21">
      <c r="A47" s="3" t="s">
        <v>406</v>
      </c>
      <c r="B47" s="18" t="s">
        <v>304</v>
      </c>
      <c r="C47" s="27">
        <v>99.419200000000004</v>
      </c>
      <c r="D47" s="27">
        <v>38.574399999999997</v>
      </c>
      <c r="E47" s="16">
        <v>-152</v>
      </c>
      <c r="F47" s="16">
        <v>-151</v>
      </c>
      <c r="G47" s="16">
        <v>-167</v>
      </c>
      <c r="H47" s="16">
        <v>3.0004983348030736</v>
      </c>
      <c r="I47" s="17">
        <f t="shared" si="0"/>
        <v>2.0205581300593116</v>
      </c>
      <c r="J47" s="16" t="s">
        <v>152</v>
      </c>
      <c r="K47" s="19">
        <v>34</v>
      </c>
      <c r="L47" s="19" t="str" cm="1">
        <f t="array" ref="L47">_xlfn.IFS(AND(M47="Brahmaputra"), "Himalaya",   AND(C47&lt;95,D47&gt;32.5), "Central Tibet",   AND(C47&gt;95,D47&gt;36), "Northeast Tibet",   AND(M47="Mekong"), "Yunnan",   AND(M47="Yangtze",C47&gt;95,D47&lt;36), "Yunnan")</f>
        <v>Northeast Tibet</v>
      </c>
      <c r="M47" s="26" t="s">
        <v>379</v>
      </c>
      <c r="N47" s="19">
        <v>3231</v>
      </c>
      <c r="O47" s="20" t="s">
        <v>33</v>
      </c>
      <c r="P47" s="3" t="s">
        <v>362</v>
      </c>
      <c r="Q47" s="13"/>
      <c r="R47" s="13"/>
      <c r="T47" s="3"/>
      <c r="U47" s="21"/>
    </row>
    <row r="48" spans="1:21">
      <c r="A48" s="3" t="s">
        <v>406</v>
      </c>
      <c r="B48" s="18" t="s">
        <v>305</v>
      </c>
      <c r="C48" s="27">
        <v>99.581900000000005</v>
      </c>
      <c r="D48" s="27">
        <v>38.476399999999998</v>
      </c>
      <c r="E48" s="16">
        <v>-168</v>
      </c>
      <c r="F48" s="16">
        <v>-161</v>
      </c>
      <c r="G48" s="16">
        <v>-165</v>
      </c>
      <c r="H48" s="16">
        <v>3.0004983348030736</v>
      </c>
      <c r="I48" s="17">
        <f t="shared" si="0"/>
        <v>2.0205581300593116</v>
      </c>
      <c r="J48" s="16" t="s">
        <v>152</v>
      </c>
      <c r="K48" s="19">
        <v>35</v>
      </c>
      <c r="L48" s="19" t="str" cm="1">
        <f t="array" ref="L48">_xlfn.IFS(AND(M48="Brahmaputra"), "Himalaya",   AND(C48&lt;95,D48&gt;32.5), "Central Tibet",   AND(C48&gt;95,D48&gt;36), "Northeast Tibet",   AND(M48="Mekong"), "Yunnan",   AND(M48="Yangtze",C48&gt;95,D48&lt;36), "Yunnan")</f>
        <v>Northeast Tibet</v>
      </c>
      <c r="M48" s="26" t="s">
        <v>379</v>
      </c>
      <c r="N48" s="19">
        <v>3398</v>
      </c>
      <c r="O48" s="20" t="s">
        <v>34</v>
      </c>
      <c r="P48" s="3" t="s">
        <v>362</v>
      </c>
      <c r="Q48" s="13"/>
      <c r="R48" s="13"/>
      <c r="T48" s="3"/>
      <c r="U48" s="21"/>
    </row>
    <row r="49" spans="1:21">
      <c r="A49" s="3" t="s">
        <v>406</v>
      </c>
      <c r="B49" s="18" t="s">
        <v>306</v>
      </c>
      <c r="C49" s="27">
        <v>98.881200000000007</v>
      </c>
      <c r="D49" s="27">
        <v>38.796799999999998</v>
      </c>
      <c r="E49" s="16">
        <v>-149</v>
      </c>
      <c r="F49" s="16">
        <v>-163</v>
      </c>
      <c r="G49" s="16">
        <v>-175</v>
      </c>
      <c r="H49" s="16">
        <v>3.0004983348030736</v>
      </c>
      <c r="I49" s="17">
        <f t="shared" si="0"/>
        <v>2.0205581300593116</v>
      </c>
      <c r="J49" s="16" t="s">
        <v>152</v>
      </c>
      <c r="K49" s="19">
        <v>36</v>
      </c>
      <c r="L49" s="19" t="str" cm="1">
        <f t="array" ref="L49">_xlfn.IFS(AND(M49="Brahmaputra"), "Himalaya",   AND(C49&lt;95,D49&gt;32.5), "Central Tibet",   AND(C49&gt;95,D49&gt;36), "Northeast Tibet",   AND(M49="Mekong"), "Yunnan",   AND(M49="Yangtze",C49&gt;95,D49&lt;36), "Yunnan")</f>
        <v>Northeast Tibet</v>
      </c>
      <c r="M49" s="26" t="s">
        <v>379</v>
      </c>
      <c r="N49" s="19">
        <v>3671</v>
      </c>
      <c r="O49" s="20" t="s">
        <v>35</v>
      </c>
      <c r="P49" s="3" t="s">
        <v>362</v>
      </c>
      <c r="Q49" s="13"/>
      <c r="R49" s="13"/>
      <c r="T49" s="3"/>
      <c r="U49" s="21"/>
    </row>
    <row r="50" spans="1:21">
      <c r="A50" s="3" t="s">
        <v>406</v>
      </c>
      <c r="B50" s="18" t="s">
        <v>307</v>
      </c>
      <c r="C50" s="27">
        <v>99.034999999999997</v>
      </c>
      <c r="D50" s="27">
        <v>38.849200000000003</v>
      </c>
      <c r="E50" s="16"/>
      <c r="F50" s="16">
        <v>-143</v>
      </c>
      <c r="G50" s="16">
        <v>-156</v>
      </c>
      <c r="H50" s="16">
        <v>3.0004983348030736</v>
      </c>
      <c r="I50" s="17">
        <f t="shared" si="0"/>
        <v>2.0205581300593116</v>
      </c>
      <c r="J50" s="16" t="s">
        <v>152</v>
      </c>
      <c r="K50" s="19">
        <v>37</v>
      </c>
      <c r="L50" s="19" t="str" cm="1">
        <f t="array" ref="L50">_xlfn.IFS(AND(M50="Brahmaputra"), "Himalaya",   AND(C50&lt;95,D50&gt;32.5), "Central Tibet",   AND(C50&gt;95,D50&gt;36), "Northeast Tibet",   AND(M50="Mekong"), "Yunnan",   AND(M50="Yangtze",C50&gt;95,D50&lt;36), "Yunnan")</f>
        <v>Northeast Tibet</v>
      </c>
      <c r="M50" s="26" t="s">
        <v>379</v>
      </c>
      <c r="N50" s="19">
        <v>3774</v>
      </c>
      <c r="O50" s="20" t="s">
        <v>36</v>
      </c>
      <c r="P50" s="3" t="s">
        <v>362</v>
      </c>
      <c r="Q50" s="13"/>
      <c r="R50" s="13"/>
      <c r="T50" s="3"/>
      <c r="U50" s="21"/>
    </row>
    <row r="51" spans="1:21">
      <c r="A51" s="3" t="s">
        <v>406</v>
      </c>
      <c r="B51" s="18" t="s">
        <v>308</v>
      </c>
      <c r="C51" s="27">
        <v>98.798599999999993</v>
      </c>
      <c r="D51" s="27">
        <v>38.823099999999997</v>
      </c>
      <c r="E51" s="16">
        <v>-146</v>
      </c>
      <c r="F51" s="16">
        <v>-153</v>
      </c>
      <c r="G51" s="16">
        <v>-161</v>
      </c>
      <c r="H51" s="16">
        <v>3.0004983348030736</v>
      </c>
      <c r="I51" s="17">
        <f t="shared" si="0"/>
        <v>2.0205581300593116</v>
      </c>
      <c r="J51" s="16" t="s">
        <v>152</v>
      </c>
      <c r="K51" s="19">
        <v>38</v>
      </c>
      <c r="L51" s="19" t="str" cm="1">
        <f t="array" ref="L51">_xlfn.IFS(AND(M51="Brahmaputra"), "Himalaya",   AND(C51&lt;95,D51&gt;32.5), "Central Tibet",   AND(C51&gt;95,D51&gt;36), "Northeast Tibet",   AND(M51="Mekong"), "Yunnan",   AND(M51="Yangtze",C51&gt;95,D51&lt;36), "Yunnan")</f>
        <v>Northeast Tibet</v>
      </c>
      <c r="M51" s="26" t="s">
        <v>379</v>
      </c>
      <c r="N51" s="19">
        <v>3906</v>
      </c>
      <c r="O51" s="20" t="s">
        <v>37</v>
      </c>
      <c r="P51" s="3" t="s">
        <v>362</v>
      </c>
      <c r="Q51" s="13"/>
      <c r="R51" s="13"/>
      <c r="T51" s="3"/>
      <c r="U51" s="21"/>
    </row>
    <row r="52" spans="1:21">
      <c r="A52" s="3" t="s">
        <v>406</v>
      </c>
      <c r="B52" s="18" t="s">
        <v>309</v>
      </c>
      <c r="C52" s="27">
        <v>98.762900000000002</v>
      </c>
      <c r="D52" s="27">
        <v>38.792999999999999</v>
      </c>
      <c r="E52" s="16">
        <v>-148</v>
      </c>
      <c r="F52" s="16">
        <v>-154</v>
      </c>
      <c r="G52" s="16">
        <v>-166</v>
      </c>
      <c r="H52" s="16">
        <v>3.0004983348030736</v>
      </c>
      <c r="I52" s="17">
        <f t="shared" si="0"/>
        <v>2.0205581300593116</v>
      </c>
      <c r="J52" s="16" t="s">
        <v>152</v>
      </c>
      <c r="K52" s="19">
        <v>39</v>
      </c>
      <c r="L52" s="19" t="str" cm="1">
        <f t="array" ref="L52">_xlfn.IFS(AND(M52="Brahmaputra"), "Himalaya",   AND(C52&lt;95,D52&gt;32.5), "Central Tibet",   AND(C52&gt;95,D52&gt;36), "Northeast Tibet",   AND(M52="Mekong"), "Yunnan",   AND(M52="Yangtze",C52&gt;95,D52&lt;36), "Yunnan")</f>
        <v>Northeast Tibet</v>
      </c>
      <c r="M52" s="26" t="s">
        <v>379</v>
      </c>
      <c r="N52" s="19">
        <v>4033</v>
      </c>
      <c r="O52" s="20" t="s">
        <v>38</v>
      </c>
      <c r="P52" s="3" t="s">
        <v>362</v>
      </c>
      <c r="Q52" s="13"/>
      <c r="R52" s="13"/>
      <c r="T52" s="3"/>
      <c r="U52" s="21"/>
    </row>
    <row r="53" spans="1:21">
      <c r="A53" s="3" t="s">
        <v>406</v>
      </c>
      <c r="B53" s="18" t="s">
        <v>310</v>
      </c>
      <c r="C53" s="27">
        <v>98.744699999999995</v>
      </c>
      <c r="D53" s="27">
        <v>38.783799999999999</v>
      </c>
      <c r="E53" s="16">
        <v>-146</v>
      </c>
      <c r="F53" s="16">
        <v>-153</v>
      </c>
      <c r="G53" s="16">
        <v>-163</v>
      </c>
      <c r="H53" s="16">
        <v>3.0004983348030736</v>
      </c>
      <c r="I53" s="17">
        <f t="shared" si="0"/>
        <v>2.0205581300593116</v>
      </c>
      <c r="J53" s="16" t="s">
        <v>152</v>
      </c>
      <c r="K53" s="19">
        <v>40</v>
      </c>
      <c r="L53" s="19" t="str" cm="1">
        <f t="array" ref="L53">_xlfn.IFS(AND(M53="Brahmaputra"), "Himalaya",   AND(C53&lt;95,D53&gt;32.5), "Central Tibet",   AND(C53&gt;95,D53&gt;36), "Northeast Tibet",   AND(M53="Mekong"), "Yunnan",   AND(M53="Yangtze",C53&gt;95,D53&lt;36), "Yunnan")</f>
        <v>Northeast Tibet</v>
      </c>
      <c r="M53" s="26" t="s">
        <v>379</v>
      </c>
      <c r="N53" s="19">
        <v>4126</v>
      </c>
      <c r="O53" s="20" t="s">
        <v>39</v>
      </c>
      <c r="P53" s="3" t="s">
        <v>362</v>
      </c>
      <c r="Q53" s="13"/>
      <c r="R53" s="13"/>
      <c r="T53" s="3"/>
      <c r="U53" s="21"/>
    </row>
    <row r="54" spans="1:21">
      <c r="A54" s="3" t="s">
        <v>406</v>
      </c>
      <c r="B54" s="18" t="s">
        <v>311</v>
      </c>
      <c r="C54" s="27">
        <v>101.92789999999999</v>
      </c>
      <c r="D54" s="27">
        <v>37.875900000000001</v>
      </c>
      <c r="E54" s="16">
        <v>-171</v>
      </c>
      <c r="F54" s="16">
        <v>-157.69999999999999</v>
      </c>
      <c r="G54" s="16">
        <v>-174.9</v>
      </c>
      <c r="H54" s="16">
        <v>3.0004983348030736</v>
      </c>
      <c r="I54" s="17">
        <f t="shared" si="0"/>
        <v>2.0205581300593116</v>
      </c>
      <c r="J54" s="16" t="s">
        <v>152</v>
      </c>
      <c r="K54" s="19">
        <v>41</v>
      </c>
      <c r="L54" s="19" t="str" cm="1">
        <f t="array" ref="L54">_xlfn.IFS(AND(M54="Brahmaputra"), "Himalaya",   AND(C54&lt;95,D54&gt;32.5), "Central Tibet",   AND(C54&gt;95,D54&gt;36), "Northeast Tibet",   AND(M54="Mekong"), "Yunnan",   AND(M54="Yangtze",C54&gt;95,D54&lt;36), "Yunnan")</f>
        <v>Northeast Tibet</v>
      </c>
      <c r="M54" s="26" t="s">
        <v>379</v>
      </c>
      <c r="N54" s="19">
        <v>2847</v>
      </c>
      <c r="O54" s="20" t="s">
        <v>40</v>
      </c>
      <c r="P54" s="3" t="s">
        <v>362</v>
      </c>
      <c r="Q54" s="13"/>
      <c r="R54" s="13"/>
      <c r="T54" s="3"/>
      <c r="U54" s="21"/>
    </row>
    <row r="55" spans="1:21">
      <c r="A55" s="3" t="s">
        <v>406</v>
      </c>
      <c r="B55" s="18" t="s">
        <v>312</v>
      </c>
      <c r="C55" s="27">
        <v>101.92319999999999</v>
      </c>
      <c r="D55" s="27">
        <v>37.879100000000001</v>
      </c>
      <c r="E55" s="16">
        <v>-157</v>
      </c>
      <c r="F55" s="16">
        <v>-161.69999999999999</v>
      </c>
      <c r="G55" s="16">
        <v>-183.5</v>
      </c>
      <c r="H55" s="16">
        <v>3.0004983348030736</v>
      </c>
      <c r="I55" s="17">
        <f t="shared" si="0"/>
        <v>2.0205581300593116</v>
      </c>
      <c r="J55" s="16" t="s">
        <v>152</v>
      </c>
      <c r="K55" s="19">
        <v>42</v>
      </c>
      <c r="L55" s="19" t="str" cm="1">
        <f t="array" ref="L55">_xlfn.IFS(AND(M55="Brahmaputra"), "Himalaya",   AND(C55&lt;95,D55&gt;32.5), "Central Tibet",   AND(C55&gt;95,D55&gt;36), "Northeast Tibet",   AND(M55="Mekong"), "Yunnan",   AND(M55="Yangtze",C55&gt;95,D55&lt;36), "Yunnan")</f>
        <v>Northeast Tibet</v>
      </c>
      <c r="M55" s="26" t="s">
        <v>379</v>
      </c>
      <c r="N55" s="19">
        <v>2945</v>
      </c>
      <c r="O55" s="20" t="s">
        <v>41</v>
      </c>
      <c r="P55" s="3" t="s">
        <v>362</v>
      </c>
      <c r="Q55" s="13"/>
      <c r="R55" s="13"/>
      <c r="T55" s="3"/>
      <c r="U55" s="21"/>
    </row>
    <row r="56" spans="1:21">
      <c r="A56" s="3" t="s">
        <v>406</v>
      </c>
      <c r="B56" s="18" t="s">
        <v>313</v>
      </c>
      <c r="C56" s="27">
        <v>102.8335</v>
      </c>
      <c r="D56" s="27">
        <v>37.226199999999999</v>
      </c>
      <c r="E56" s="16">
        <v>-170</v>
      </c>
      <c r="F56" s="16">
        <v>-167.3</v>
      </c>
      <c r="G56" s="16">
        <v>-167.7</v>
      </c>
      <c r="H56" s="16">
        <v>3.0004983348030736</v>
      </c>
      <c r="I56" s="17">
        <f t="shared" si="0"/>
        <v>2.0205581300593116</v>
      </c>
      <c r="J56" s="16" t="s">
        <v>152</v>
      </c>
      <c r="K56" s="19">
        <v>43</v>
      </c>
      <c r="L56" s="19" t="str" cm="1">
        <f t="array" ref="L56">_xlfn.IFS(AND(M56="Brahmaputra"), "Himalaya",   AND(C56&lt;95,D56&gt;32.5), "Central Tibet",   AND(C56&gt;95,D56&gt;36), "Northeast Tibet",   AND(M56="Mekong"), "Yunnan",   AND(M56="Yangtze",C56&gt;95,D56&lt;36), "Yunnan")</f>
        <v>Northeast Tibet</v>
      </c>
      <c r="M56" s="26" t="s">
        <v>379</v>
      </c>
      <c r="N56" s="19">
        <v>2819</v>
      </c>
      <c r="O56" s="20" t="s">
        <v>42</v>
      </c>
      <c r="P56" s="3" t="s">
        <v>362</v>
      </c>
      <c r="Q56" s="13"/>
      <c r="R56" s="13"/>
      <c r="T56" s="3"/>
      <c r="U56" s="21"/>
    </row>
    <row r="57" spans="1:21">
      <c r="A57" s="3" t="s">
        <v>403</v>
      </c>
      <c r="B57" s="18" t="s">
        <v>314</v>
      </c>
      <c r="C57" s="27">
        <v>98.133399999999995</v>
      </c>
      <c r="D57" s="27">
        <v>39.136299999999999</v>
      </c>
      <c r="E57" s="16">
        <v>-175</v>
      </c>
      <c r="F57" s="16">
        <v>-163</v>
      </c>
      <c r="G57" s="16">
        <v>-173</v>
      </c>
      <c r="H57" s="16">
        <v>3.0004983348030736</v>
      </c>
      <c r="I57" s="17">
        <f t="shared" si="0"/>
        <v>2.0205581300593116</v>
      </c>
      <c r="J57" s="16" t="s">
        <v>152</v>
      </c>
      <c r="K57" s="19">
        <v>44</v>
      </c>
      <c r="L57" s="19" t="str" cm="1">
        <f t="array" ref="L57">_xlfn.IFS(AND(M57="Brahmaputra"), "Himalaya",   AND(C57&lt;95,D57&gt;32.5), "Central Tibet",   AND(C57&gt;95,D57&gt;36), "Northeast Tibet",   AND(M57="Mekong"), "Yunnan",   AND(M57="Yangtze",C57&gt;95,D57&lt;36), "Yunnan")</f>
        <v>Northeast Tibet</v>
      </c>
      <c r="M57" s="26" t="s">
        <v>379</v>
      </c>
      <c r="N57" s="19">
        <v>3177</v>
      </c>
      <c r="O57" s="20" t="s">
        <v>43</v>
      </c>
      <c r="P57" s="3" t="s">
        <v>362</v>
      </c>
      <c r="Q57" s="13"/>
      <c r="R57" s="13"/>
      <c r="T57" s="3"/>
      <c r="U57" s="21"/>
    </row>
    <row r="58" spans="1:21">
      <c r="A58" s="3" t="s">
        <v>403</v>
      </c>
      <c r="B58" s="18" t="s">
        <v>315</v>
      </c>
      <c r="C58" s="27">
        <v>97.836200000000005</v>
      </c>
      <c r="D58" s="27">
        <v>39.3322</v>
      </c>
      <c r="E58" s="16">
        <v>-174</v>
      </c>
      <c r="F58" s="16">
        <v>-162</v>
      </c>
      <c r="G58" s="16">
        <v>-168</v>
      </c>
      <c r="H58" s="16">
        <v>3.0004983348030736</v>
      </c>
      <c r="I58" s="17">
        <f t="shared" si="0"/>
        <v>2.0205581300593116</v>
      </c>
      <c r="J58" s="16" t="s">
        <v>152</v>
      </c>
      <c r="K58" s="19">
        <v>45</v>
      </c>
      <c r="L58" s="19" t="str" cm="1">
        <f t="array" ref="L58">_xlfn.IFS(AND(M58="Brahmaputra"), "Himalaya",   AND(C58&lt;95,D58&gt;32.5), "Central Tibet",   AND(C58&gt;95,D58&gt;36), "Northeast Tibet",   AND(M58="Mekong"), "Yunnan",   AND(M58="Yangtze",C58&gt;95,D58&lt;36), "Yunnan")</f>
        <v>Northeast Tibet</v>
      </c>
      <c r="M58" s="26" t="s">
        <v>379</v>
      </c>
      <c r="N58" s="19">
        <v>3076</v>
      </c>
      <c r="O58" s="20" t="s">
        <v>44</v>
      </c>
      <c r="P58" s="3" t="s">
        <v>362</v>
      </c>
      <c r="Q58" s="13"/>
      <c r="R58" s="13"/>
      <c r="T58" s="3"/>
      <c r="U58" s="21"/>
    </row>
    <row r="59" spans="1:21">
      <c r="A59" s="3" t="s">
        <v>403</v>
      </c>
      <c r="B59" s="18" t="s">
        <v>316</v>
      </c>
      <c r="C59" s="27">
        <v>97.740300000000005</v>
      </c>
      <c r="D59" s="27">
        <v>39.272599999999997</v>
      </c>
      <c r="E59" s="16">
        <v>-156</v>
      </c>
      <c r="F59" s="16">
        <v>-166</v>
      </c>
      <c r="G59" s="16">
        <v>-168</v>
      </c>
      <c r="H59" s="16">
        <v>3.0004983348030736</v>
      </c>
      <c r="I59" s="17">
        <f t="shared" si="0"/>
        <v>2.0205581300593116</v>
      </c>
      <c r="J59" s="16" t="s">
        <v>152</v>
      </c>
      <c r="K59" s="19">
        <v>46</v>
      </c>
      <c r="L59" s="19" t="str" cm="1">
        <f t="array" ref="L59">_xlfn.IFS(AND(M59="Brahmaputra"), "Himalaya",   AND(C59&lt;95,D59&gt;32.5), "Central Tibet",   AND(C59&gt;95,D59&gt;36), "Northeast Tibet",   AND(M59="Mekong"), "Yunnan",   AND(M59="Yangtze",C59&gt;95,D59&lt;36), "Yunnan")</f>
        <v>Northeast Tibet</v>
      </c>
      <c r="M59" s="26" t="s">
        <v>379</v>
      </c>
      <c r="N59" s="19">
        <v>3874</v>
      </c>
      <c r="O59" s="20" t="s">
        <v>45</v>
      </c>
      <c r="P59" s="3" t="s">
        <v>362</v>
      </c>
      <c r="Q59" s="13"/>
      <c r="R59" s="13"/>
      <c r="T59" s="3"/>
      <c r="U59" s="21"/>
    </row>
    <row r="60" spans="1:21">
      <c r="A60" s="3" t="s">
        <v>403</v>
      </c>
      <c r="B60" s="18" t="s">
        <v>317</v>
      </c>
      <c r="C60" s="27">
        <v>97.791200000000003</v>
      </c>
      <c r="D60" s="27">
        <v>39.338999999999999</v>
      </c>
      <c r="E60" s="16">
        <v>-165</v>
      </c>
      <c r="F60" s="16">
        <v>-163</v>
      </c>
      <c r="G60" s="16">
        <v>-173</v>
      </c>
      <c r="H60" s="16">
        <v>3.0004983348030736</v>
      </c>
      <c r="I60" s="17">
        <f t="shared" si="0"/>
        <v>2.0205581300593116</v>
      </c>
      <c r="J60" s="16" t="s">
        <v>152</v>
      </c>
      <c r="K60" s="19">
        <v>47</v>
      </c>
      <c r="L60" s="19" t="str" cm="1">
        <f t="array" ref="L60">_xlfn.IFS(AND(M60="Brahmaputra"), "Himalaya",   AND(C60&lt;95,D60&gt;32.5), "Central Tibet",   AND(C60&gt;95,D60&gt;36), "Northeast Tibet",   AND(M60="Mekong"), "Yunnan",   AND(M60="Yangtze",C60&gt;95,D60&lt;36), "Yunnan")</f>
        <v>Northeast Tibet</v>
      </c>
      <c r="M60" s="26" t="s">
        <v>379</v>
      </c>
      <c r="N60" s="19">
        <v>3221</v>
      </c>
      <c r="O60" s="20" t="s">
        <v>46</v>
      </c>
      <c r="P60" s="3" t="s">
        <v>362</v>
      </c>
      <c r="Q60" s="13"/>
      <c r="R60" s="13"/>
      <c r="T60" s="3"/>
      <c r="U60" s="21"/>
    </row>
    <row r="61" spans="1:21">
      <c r="A61" s="3" t="s">
        <v>403</v>
      </c>
      <c r="B61" s="18" t="s">
        <v>318</v>
      </c>
      <c r="C61" s="27">
        <v>102.3716</v>
      </c>
      <c r="D61" s="27">
        <v>37.639000000000003</v>
      </c>
      <c r="E61" s="16">
        <v>-163</v>
      </c>
      <c r="F61" s="16">
        <v>-170</v>
      </c>
      <c r="G61" s="16">
        <v>-165</v>
      </c>
      <c r="H61" s="16">
        <v>3.0004983348030736</v>
      </c>
      <c r="I61" s="17">
        <f t="shared" si="0"/>
        <v>2.0205581300593116</v>
      </c>
      <c r="J61" s="16" t="s">
        <v>152</v>
      </c>
      <c r="K61" s="19">
        <v>48</v>
      </c>
      <c r="L61" s="19" t="str" cm="1">
        <f t="array" ref="L61">_xlfn.IFS(AND(M61="Brahmaputra"), "Himalaya",   AND(C61&lt;95,D61&gt;32.5), "Central Tibet",   AND(C61&gt;95,D61&gt;36), "Northeast Tibet",   AND(M61="Mekong"), "Yunnan",   AND(M61="Yangtze",C61&gt;95,D61&lt;36), "Yunnan")</f>
        <v>Northeast Tibet</v>
      </c>
      <c r="M61" s="26" t="s">
        <v>379</v>
      </c>
      <c r="N61" s="19">
        <v>2818</v>
      </c>
      <c r="O61" s="20" t="s">
        <v>47</v>
      </c>
      <c r="P61" s="3" t="s">
        <v>362</v>
      </c>
      <c r="Q61" s="13"/>
      <c r="R61" s="13"/>
      <c r="T61" s="3"/>
      <c r="U61" s="21"/>
    </row>
    <row r="62" spans="1:21">
      <c r="A62" s="3" t="s">
        <v>403</v>
      </c>
      <c r="B62" s="18" t="s">
        <v>319</v>
      </c>
      <c r="C62" s="27">
        <v>102.37035</v>
      </c>
      <c r="D62" s="27">
        <v>37.631599999999999</v>
      </c>
      <c r="E62" s="16">
        <v>-167</v>
      </c>
      <c r="F62" s="16">
        <v>-163</v>
      </c>
      <c r="G62" s="16">
        <v>-169</v>
      </c>
      <c r="H62" s="16">
        <v>3.0004983348030736</v>
      </c>
      <c r="I62" s="17">
        <f t="shared" si="0"/>
        <v>2.0205581300593116</v>
      </c>
      <c r="J62" s="16" t="s">
        <v>152</v>
      </c>
      <c r="K62" s="19">
        <v>49</v>
      </c>
      <c r="L62" s="19" t="str" cm="1">
        <f t="array" ref="L62">_xlfn.IFS(AND(M62="Brahmaputra"), "Himalaya",   AND(C62&lt;95,D62&gt;32.5), "Central Tibet",   AND(C62&gt;95,D62&gt;36), "Northeast Tibet",   AND(M62="Mekong"), "Yunnan",   AND(M62="Yangtze",C62&gt;95,D62&lt;36), "Yunnan")</f>
        <v>Northeast Tibet</v>
      </c>
      <c r="M62" s="26" t="s">
        <v>379</v>
      </c>
      <c r="N62" s="19">
        <v>2959</v>
      </c>
      <c r="O62" s="20" t="s">
        <v>48</v>
      </c>
      <c r="P62" s="3" t="s">
        <v>362</v>
      </c>
      <c r="Q62" s="13"/>
      <c r="R62" s="13"/>
      <c r="T62" s="3"/>
      <c r="U62" s="21"/>
    </row>
    <row r="63" spans="1:21">
      <c r="A63" s="3" t="s">
        <v>372</v>
      </c>
      <c r="B63" s="18" t="s">
        <v>320</v>
      </c>
      <c r="C63" s="27">
        <v>90.23</v>
      </c>
      <c r="D63" s="27">
        <v>28.89</v>
      </c>
      <c r="E63" s="16">
        <v>-186</v>
      </c>
      <c r="F63" s="16">
        <v>-199</v>
      </c>
      <c r="G63" s="16">
        <v>-214</v>
      </c>
      <c r="H63" s="16">
        <v>2.0003322232020495</v>
      </c>
      <c r="I63" s="17">
        <f t="shared" si="0"/>
        <v>2.4746682071387207</v>
      </c>
      <c r="J63" s="16" t="s">
        <v>152</v>
      </c>
      <c r="K63" s="19">
        <v>50</v>
      </c>
      <c r="L63" s="19"/>
      <c r="M63" s="26" t="s">
        <v>378</v>
      </c>
      <c r="N63" s="19">
        <v>4855</v>
      </c>
      <c r="O63" s="20" t="s">
        <v>49</v>
      </c>
      <c r="P63" s="3" t="s">
        <v>362</v>
      </c>
      <c r="Q63" s="13"/>
      <c r="R63" s="13"/>
      <c r="T63" s="3"/>
      <c r="U63" s="21"/>
    </row>
    <row r="64" spans="1:21">
      <c r="A64" s="3" t="s">
        <v>365</v>
      </c>
      <c r="B64" s="18" t="s">
        <v>321</v>
      </c>
      <c r="C64" s="27">
        <v>90.470399999999998</v>
      </c>
      <c r="D64" s="27">
        <v>29.0322</v>
      </c>
      <c r="E64" s="16">
        <v>-173</v>
      </c>
      <c r="F64" s="16">
        <v>-187</v>
      </c>
      <c r="G64" s="16">
        <v>-189</v>
      </c>
      <c r="H64" s="16">
        <v>2.0003322232020495</v>
      </c>
      <c r="I64" s="17">
        <f t="shared" si="0"/>
        <v>2.4746682071387207</v>
      </c>
      <c r="J64" s="16" t="s">
        <v>356</v>
      </c>
      <c r="K64" s="19">
        <v>51</v>
      </c>
      <c r="L64" s="19"/>
      <c r="M64" s="26" t="s">
        <v>378</v>
      </c>
      <c r="N64" s="19">
        <v>4445</v>
      </c>
      <c r="O64" s="20" t="s">
        <v>50</v>
      </c>
      <c r="P64" s="3" t="s">
        <v>362</v>
      </c>
      <c r="Q64" s="13"/>
      <c r="R64" s="13"/>
      <c r="T64" s="3"/>
      <c r="U64" s="21"/>
    </row>
    <row r="65" spans="1:21">
      <c r="A65" s="3" t="s">
        <v>365</v>
      </c>
      <c r="B65" s="18" t="s">
        <v>322</v>
      </c>
      <c r="C65" s="27">
        <v>90.637200000000007</v>
      </c>
      <c r="D65" s="27">
        <v>30.645</v>
      </c>
      <c r="E65" s="16">
        <v>-201</v>
      </c>
      <c r="F65" s="16">
        <v>-246</v>
      </c>
      <c r="G65" s="16">
        <v>-243</v>
      </c>
      <c r="H65" s="16">
        <v>2.0003322232020495</v>
      </c>
      <c r="I65" s="17">
        <f t="shared" si="0"/>
        <v>2.4746682071387207</v>
      </c>
      <c r="J65" s="16" t="s">
        <v>356</v>
      </c>
      <c r="K65" s="19">
        <v>52</v>
      </c>
      <c r="L65" s="19"/>
      <c r="M65" s="26" t="s">
        <v>378</v>
      </c>
      <c r="N65" s="19">
        <v>4718</v>
      </c>
      <c r="O65" s="20" t="s">
        <v>51</v>
      </c>
      <c r="P65" s="3" t="s">
        <v>362</v>
      </c>
      <c r="Q65" s="13"/>
      <c r="R65" s="13"/>
      <c r="T65" s="3"/>
      <c r="U65" s="21"/>
    </row>
    <row r="66" spans="1:21">
      <c r="A66" s="3" t="s">
        <v>365</v>
      </c>
      <c r="B66" s="18" t="s">
        <v>323</v>
      </c>
      <c r="C66" s="27">
        <v>96.8857</v>
      </c>
      <c r="D66" s="27">
        <v>37.301900000000003</v>
      </c>
      <c r="E66" s="16">
        <v>-126</v>
      </c>
      <c r="F66" s="16">
        <v>-126</v>
      </c>
      <c r="G66" s="16">
        <v>-131</v>
      </c>
      <c r="H66" s="16">
        <v>2.0003322232020495</v>
      </c>
      <c r="I66" s="17">
        <f t="shared" si="0"/>
        <v>2.4746682071387207</v>
      </c>
      <c r="J66" s="16" t="s">
        <v>356</v>
      </c>
      <c r="K66" s="19">
        <v>53</v>
      </c>
      <c r="L66" s="19"/>
      <c r="M66" s="26" t="s">
        <v>380</v>
      </c>
      <c r="N66" s="19">
        <v>2812</v>
      </c>
      <c r="O66" s="20" t="s">
        <v>52</v>
      </c>
      <c r="P66" s="3" t="s">
        <v>362</v>
      </c>
      <c r="Q66" s="13"/>
      <c r="R66" s="13"/>
      <c r="T66" s="3"/>
      <c r="U66" s="21"/>
    </row>
    <row r="67" spans="1:21">
      <c r="A67" s="3" t="s">
        <v>373</v>
      </c>
      <c r="B67" s="18" t="s">
        <v>324</v>
      </c>
      <c r="C67" s="27">
        <v>95.495599999999996</v>
      </c>
      <c r="D67" s="27">
        <v>37.469700000000003</v>
      </c>
      <c r="E67" s="16">
        <v>-114</v>
      </c>
      <c r="F67" s="16">
        <v>-139</v>
      </c>
      <c r="G67" s="16">
        <v>-138</v>
      </c>
      <c r="H67" s="16">
        <v>2.0003322232020495</v>
      </c>
      <c r="I67" s="17">
        <f t="shared" si="0"/>
        <v>2.4746682071387207</v>
      </c>
      <c r="J67" s="16" t="s">
        <v>356</v>
      </c>
      <c r="K67" s="19">
        <v>54</v>
      </c>
      <c r="L67" s="19"/>
      <c r="M67" s="26" t="s">
        <v>380</v>
      </c>
      <c r="N67" s="19">
        <v>3163</v>
      </c>
      <c r="O67" s="20" t="s">
        <v>53</v>
      </c>
      <c r="P67" s="3" t="s">
        <v>362</v>
      </c>
      <c r="Q67" s="13"/>
      <c r="R67" s="13"/>
      <c r="T67" s="3"/>
      <c r="U67" s="21"/>
    </row>
    <row r="68" spans="1:21">
      <c r="A68" s="3" t="s">
        <v>365</v>
      </c>
      <c r="B68" s="18" t="s">
        <v>322</v>
      </c>
      <c r="C68" s="27" t="s">
        <v>269</v>
      </c>
      <c r="D68" s="27" t="s">
        <v>269</v>
      </c>
      <c r="E68" s="16"/>
      <c r="F68" s="16">
        <v>-240</v>
      </c>
      <c r="G68" s="16"/>
      <c r="H68" s="16">
        <v>2.0003322232020495</v>
      </c>
      <c r="I68" s="17">
        <f t="shared" si="0"/>
        <v>2.4746682071387207</v>
      </c>
      <c r="J68" s="16" t="s">
        <v>356</v>
      </c>
      <c r="K68" s="19">
        <v>55</v>
      </c>
      <c r="L68" s="19"/>
      <c r="M68" s="26" t="s">
        <v>381</v>
      </c>
      <c r="N68" s="19">
        <v>4718</v>
      </c>
      <c r="O68" s="20" t="s">
        <v>54</v>
      </c>
      <c r="P68" s="3" t="s">
        <v>362</v>
      </c>
      <c r="Q68" s="13"/>
      <c r="R68" s="13"/>
      <c r="T68" s="3"/>
      <c r="U68" s="21"/>
    </row>
    <row r="69" spans="1:21">
      <c r="A69" s="3" t="s">
        <v>365</v>
      </c>
      <c r="B69" s="18" t="s">
        <v>325</v>
      </c>
      <c r="C69" s="27">
        <v>97.2</v>
      </c>
      <c r="D69" s="27">
        <v>34</v>
      </c>
      <c r="E69" s="16"/>
      <c r="F69" s="16">
        <v>-180</v>
      </c>
      <c r="G69" s="16">
        <v>-176</v>
      </c>
      <c r="H69" s="16">
        <v>2.0003322232020495</v>
      </c>
      <c r="I69" s="17">
        <f t="shared" si="0"/>
        <v>2.4746682071387207</v>
      </c>
      <c r="J69" s="16" t="s">
        <v>356</v>
      </c>
      <c r="K69" s="19">
        <v>56</v>
      </c>
      <c r="L69" s="19"/>
      <c r="M69" s="26" t="s">
        <v>379</v>
      </c>
      <c r="N69" s="19">
        <v>4540</v>
      </c>
      <c r="O69" s="20" t="s">
        <v>55</v>
      </c>
      <c r="P69" s="3" t="s">
        <v>362</v>
      </c>
      <c r="Q69" s="13"/>
      <c r="R69" s="13"/>
      <c r="T69" s="3"/>
      <c r="U69" s="21"/>
    </row>
    <row r="70" spans="1:21">
      <c r="A70" s="3" t="s">
        <v>365</v>
      </c>
      <c r="B70" s="18" t="s">
        <v>326</v>
      </c>
      <c r="C70" s="27">
        <v>95.576999999999998</v>
      </c>
      <c r="D70" s="27">
        <v>37.463000000000001</v>
      </c>
      <c r="E70" s="16">
        <v>-151</v>
      </c>
      <c r="F70" s="16">
        <v>-156</v>
      </c>
      <c r="G70" s="16">
        <v>-148</v>
      </c>
      <c r="H70" s="16">
        <v>2.0003322232020495</v>
      </c>
      <c r="I70" s="17">
        <f t="shared" si="0"/>
        <v>2.4746682071387207</v>
      </c>
      <c r="J70" s="16" t="s">
        <v>356</v>
      </c>
      <c r="K70" s="19">
        <v>57</v>
      </c>
      <c r="L70" s="19"/>
      <c r="M70" s="26" t="s">
        <v>380</v>
      </c>
      <c r="N70" s="19">
        <v>3174</v>
      </c>
      <c r="O70" s="20" t="s">
        <v>56</v>
      </c>
      <c r="P70" s="3" t="s">
        <v>362</v>
      </c>
      <c r="Q70" s="13"/>
      <c r="R70" s="13"/>
      <c r="T70" s="3"/>
      <c r="U70" s="21"/>
    </row>
    <row r="71" spans="1:21">
      <c r="A71" s="3" t="s">
        <v>365</v>
      </c>
      <c r="B71" s="18" t="s">
        <v>327</v>
      </c>
      <c r="C71" s="27">
        <v>97.454999999999998</v>
      </c>
      <c r="D71" s="27">
        <v>33.99</v>
      </c>
      <c r="E71" s="16">
        <v>-199</v>
      </c>
      <c r="F71" s="16">
        <v>-205</v>
      </c>
      <c r="G71" s="16">
        <v>-212</v>
      </c>
      <c r="H71" s="16">
        <v>2.0003322232020495</v>
      </c>
      <c r="I71" s="17">
        <f t="shared" si="0"/>
        <v>2.4746682071387207</v>
      </c>
      <c r="J71" s="16" t="s">
        <v>356</v>
      </c>
      <c r="K71" s="19">
        <v>58</v>
      </c>
      <c r="L71" s="19"/>
      <c r="M71" s="26" t="s">
        <v>379</v>
      </c>
      <c r="N71" s="19">
        <v>4581</v>
      </c>
      <c r="O71" s="20" t="s">
        <v>57</v>
      </c>
      <c r="P71" s="3" t="s">
        <v>362</v>
      </c>
      <c r="Q71" s="13"/>
      <c r="R71" s="13"/>
      <c r="T71" s="3"/>
      <c r="U71" s="21"/>
    </row>
    <row r="72" spans="1:21">
      <c r="A72" s="3" t="s">
        <v>365</v>
      </c>
      <c r="B72" s="18" t="s">
        <v>328</v>
      </c>
      <c r="C72" s="27">
        <v>89.528000000000006</v>
      </c>
      <c r="D72" s="27">
        <v>32.097999999999999</v>
      </c>
      <c r="E72" s="16">
        <v>-187</v>
      </c>
      <c r="F72" s="16">
        <v>-194</v>
      </c>
      <c r="G72" s="16">
        <v>-210</v>
      </c>
      <c r="H72" s="16">
        <v>2.0003322232020495</v>
      </c>
      <c r="I72" s="17">
        <f t="shared" si="0"/>
        <v>2.4746682071387207</v>
      </c>
      <c r="J72" s="16" t="s">
        <v>356</v>
      </c>
      <c r="K72" s="19">
        <v>59</v>
      </c>
      <c r="L72" s="19"/>
      <c r="M72" s="26" t="s">
        <v>378</v>
      </c>
      <c r="N72" s="19">
        <v>4724</v>
      </c>
      <c r="O72" s="20" t="s">
        <v>58</v>
      </c>
      <c r="P72" s="3" t="s">
        <v>362</v>
      </c>
      <c r="Q72" s="13"/>
      <c r="R72" s="13"/>
      <c r="T72" s="3"/>
      <c r="U72" s="21"/>
    </row>
    <row r="73" spans="1:21">
      <c r="A73" s="3" t="s">
        <v>365</v>
      </c>
      <c r="B73" s="18" t="s">
        <v>329</v>
      </c>
      <c r="C73" s="27">
        <v>97.545000000000002</v>
      </c>
      <c r="D73" s="27">
        <v>34.03</v>
      </c>
      <c r="E73" s="16">
        <v>-176</v>
      </c>
      <c r="F73" s="16">
        <v>-189</v>
      </c>
      <c r="G73" s="16">
        <v>-186</v>
      </c>
      <c r="H73" s="16">
        <v>2.0003322232020495</v>
      </c>
      <c r="I73" s="17">
        <f t="shared" si="0"/>
        <v>2.4746682071387207</v>
      </c>
      <c r="J73" s="16" t="s">
        <v>356</v>
      </c>
      <c r="K73" s="19">
        <v>60</v>
      </c>
      <c r="L73" s="19"/>
      <c r="M73" s="26" t="s">
        <v>379</v>
      </c>
      <c r="N73" s="19">
        <v>4617</v>
      </c>
      <c r="O73" s="20" t="s">
        <v>59</v>
      </c>
      <c r="P73" s="3" t="s">
        <v>362</v>
      </c>
      <c r="Q73" s="13"/>
      <c r="R73" s="13"/>
      <c r="T73" s="3"/>
      <c r="U73" s="21"/>
    </row>
    <row r="74" spans="1:21">
      <c r="A74" s="3" t="s">
        <v>365</v>
      </c>
      <c r="B74" s="18" t="s">
        <v>330</v>
      </c>
      <c r="C74" s="27">
        <v>96.715999999999994</v>
      </c>
      <c r="D74" s="27">
        <v>29.654</v>
      </c>
      <c r="E74" s="16">
        <v>-186</v>
      </c>
      <c r="F74" s="16">
        <v>-193</v>
      </c>
      <c r="G74" s="16">
        <v>-220</v>
      </c>
      <c r="H74" s="16">
        <v>2.0003322232020495</v>
      </c>
      <c r="I74" s="17">
        <f t="shared" si="0"/>
        <v>2.4746682071387207</v>
      </c>
      <c r="J74" s="16" t="s">
        <v>356</v>
      </c>
      <c r="K74" s="19">
        <v>61</v>
      </c>
      <c r="L74" s="19"/>
      <c r="M74" s="26" t="s">
        <v>378</v>
      </c>
      <c r="N74" s="19">
        <v>4431</v>
      </c>
      <c r="O74" s="20" t="s">
        <v>60</v>
      </c>
      <c r="P74" s="3" t="s">
        <v>362</v>
      </c>
      <c r="Q74" s="13"/>
      <c r="R74" s="13"/>
      <c r="T74" s="3"/>
      <c r="U74" s="21"/>
    </row>
    <row r="75" spans="1:21">
      <c r="A75" s="3" t="s">
        <v>365</v>
      </c>
      <c r="B75" s="18" t="s">
        <v>331</v>
      </c>
      <c r="C75" s="27">
        <v>100.0772</v>
      </c>
      <c r="D75" s="27">
        <v>37.1875</v>
      </c>
      <c r="E75" s="16">
        <v>-165</v>
      </c>
      <c r="F75" s="16">
        <v>-158</v>
      </c>
      <c r="G75" s="16">
        <v>-174</v>
      </c>
      <c r="H75" s="16">
        <v>2.0003322232020495</v>
      </c>
      <c r="I75" s="17">
        <f t="shared" si="0"/>
        <v>2.4746682071387207</v>
      </c>
      <c r="J75" s="16" t="s">
        <v>356</v>
      </c>
      <c r="K75" s="19">
        <v>62</v>
      </c>
      <c r="L75" s="19" t="str" cm="1">
        <f t="array" ref="L75">_xlfn.IFS(AND(M75="Brahmaputra"), "Himalaya",   AND(C75&lt;95,D75&gt;32.5), "Central Tibet",   AND(C75&gt;95,D75&gt;36), "Northeast Tibet",   AND(M75="Mekong"), "Yunnan",   AND(M75="Yangtze",C75&gt;95,D75&lt;36), "Yunnan")</f>
        <v>Northeast Tibet</v>
      </c>
      <c r="M75" s="26" t="s">
        <v>379</v>
      </c>
      <c r="N75" s="19">
        <v>3193</v>
      </c>
      <c r="O75" s="20" t="s">
        <v>61</v>
      </c>
      <c r="P75" s="3" t="s">
        <v>362</v>
      </c>
      <c r="Q75" s="13"/>
      <c r="R75" s="13"/>
      <c r="T75" s="3"/>
      <c r="U75" s="21"/>
    </row>
    <row r="76" spans="1:21">
      <c r="A76" s="3" t="s">
        <v>406</v>
      </c>
      <c r="B76" s="18" t="s">
        <v>332</v>
      </c>
      <c r="C76" s="27">
        <v>100.1164</v>
      </c>
      <c r="D76" s="27">
        <v>36.633099999999999</v>
      </c>
      <c r="E76" s="16">
        <v>-190</v>
      </c>
      <c r="F76" s="16">
        <v>-172</v>
      </c>
      <c r="G76" s="16">
        <v>-188</v>
      </c>
      <c r="H76" s="16">
        <v>2.0003322232020495</v>
      </c>
      <c r="I76" s="17">
        <f t="shared" si="0"/>
        <v>2.4746682071387207</v>
      </c>
      <c r="J76" s="16" t="s">
        <v>152</v>
      </c>
      <c r="K76" s="19">
        <v>63</v>
      </c>
      <c r="L76" s="19" t="str" cm="1">
        <f t="array" ref="L76">_xlfn.IFS(AND(M76="Brahmaputra"), "Himalaya",   AND(C76&lt;95,D76&gt;32.5), "Central Tibet",   AND(C76&gt;95,D76&gt;36), "Northeast Tibet",   AND(M76="Mekong"), "Yunnan",   AND(M76="Yangtze",C76&gt;95,D76&lt;36), "Yunnan")</f>
        <v>Northeast Tibet</v>
      </c>
      <c r="M76" s="26" t="s">
        <v>379</v>
      </c>
      <c r="N76" s="19">
        <v>3193</v>
      </c>
      <c r="O76" s="20" t="s">
        <v>62</v>
      </c>
      <c r="P76" s="3" t="s">
        <v>362</v>
      </c>
      <c r="Q76" s="13"/>
      <c r="R76" s="13"/>
      <c r="T76" s="3"/>
      <c r="U76" s="21"/>
    </row>
    <row r="77" spans="1:21">
      <c r="A77" s="3" t="s">
        <v>406</v>
      </c>
      <c r="B77" s="18" t="s">
        <v>333</v>
      </c>
      <c r="C77" s="27">
        <v>100.3456</v>
      </c>
      <c r="D77" s="27">
        <v>37.138300000000001</v>
      </c>
      <c r="E77" s="16">
        <v>-165</v>
      </c>
      <c r="F77" s="16">
        <v>-156</v>
      </c>
      <c r="G77" s="16">
        <v>-161</v>
      </c>
      <c r="H77" s="16">
        <v>2.0003322232020495</v>
      </c>
      <c r="I77" s="17">
        <f t="shared" si="0"/>
        <v>2.4746682071387207</v>
      </c>
      <c r="J77" s="16" t="s">
        <v>152</v>
      </c>
      <c r="K77" s="19">
        <v>64</v>
      </c>
      <c r="L77" s="19" t="str" cm="1">
        <f t="array" ref="L77">_xlfn.IFS(AND(M77="Brahmaputra"), "Himalaya",   AND(C77&lt;95,D77&gt;32.5), "Central Tibet",   AND(C77&gt;95,D77&gt;36), "Northeast Tibet",   AND(M77="Mekong"), "Yunnan",   AND(M77="Yangtze",C77&gt;95,D77&lt;36), "Yunnan")</f>
        <v>Northeast Tibet</v>
      </c>
      <c r="M77" s="26" t="s">
        <v>379</v>
      </c>
      <c r="N77" s="19">
        <v>3193</v>
      </c>
      <c r="O77" s="20" t="s">
        <v>63</v>
      </c>
      <c r="P77" s="3" t="s">
        <v>362</v>
      </c>
      <c r="Q77" s="13"/>
      <c r="R77" s="13"/>
      <c r="T77" s="3"/>
      <c r="U77" s="21"/>
    </row>
    <row r="78" spans="1:21">
      <c r="A78" s="3" t="s">
        <v>406</v>
      </c>
      <c r="B78" s="18" t="s">
        <v>334</v>
      </c>
      <c r="C78" s="27">
        <v>100.0772</v>
      </c>
      <c r="D78" s="27">
        <v>37.1875</v>
      </c>
      <c r="E78" s="16">
        <v>-158</v>
      </c>
      <c r="F78" s="16">
        <v>-165</v>
      </c>
      <c r="G78" s="16">
        <v>-155</v>
      </c>
      <c r="H78" s="16">
        <v>2.0003322232020495</v>
      </c>
      <c r="I78" s="17">
        <f t="shared" si="0"/>
        <v>2.4746682071387207</v>
      </c>
      <c r="J78" s="16" t="s">
        <v>152</v>
      </c>
      <c r="K78" s="19">
        <v>65</v>
      </c>
      <c r="L78" s="19" t="str" cm="1">
        <f t="array" ref="L78">_xlfn.IFS(AND(M78="Brahmaputra"), "Himalaya",   AND(C78&lt;95,D78&gt;32.5), "Central Tibet",   AND(C78&gt;95,D78&gt;36), "Northeast Tibet",   AND(M78="Mekong"), "Yunnan",   AND(M78="Yangtze",C78&gt;95,D78&lt;36), "Yunnan")</f>
        <v>Northeast Tibet</v>
      </c>
      <c r="M78" s="26" t="s">
        <v>379</v>
      </c>
      <c r="N78" s="19">
        <v>3093</v>
      </c>
      <c r="O78" s="20" t="s">
        <v>64</v>
      </c>
      <c r="P78" s="3" t="s">
        <v>362</v>
      </c>
      <c r="Q78" s="13"/>
      <c r="R78" s="13"/>
      <c r="T78" s="3"/>
      <c r="U78" s="21"/>
    </row>
    <row r="79" spans="1:21">
      <c r="A79" s="3" t="s">
        <v>406</v>
      </c>
      <c r="B79" s="18" t="s">
        <v>335</v>
      </c>
      <c r="C79" s="27">
        <v>100.0772</v>
      </c>
      <c r="D79" s="27">
        <v>37.1875</v>
      </c>
      <c r="E79" s="16">
        <v>-155</v>
      </c>
      <c r="F79" s="16">
        <v>-149</v>
      </c>
      <c r="G79" s="16">
        <v>-155</v>
      </c>
      <c r="H79" s="16">
        <v>2.0003322232020495</v>
      </c>
      <c r="I79" s="17">
        <f t="shared" ref="I79:I142" si="1">3.5/SQRT(H79)</f>
        <v>2.4746682071387207</v>
      </c>
      <c r="J79" s="16" t="s">
        <v>152</v>
      </c>
      <c r="K79" s="19">
        <v>66</v>
      </c>
      <c r="L79" s="19" t="str" cm="1">
        <f t="array" ref="L79">_xlfn.IFS(AND(M79="Brahmaputra"), "Himalaya",   AND(C79&lt;95,D79&gt;32.5), "Central Tibet",   AND(C79&gt;95,D79&gt;36), "Northeast Tibet",   AND(M79="Mekong"), "Yunnan",   AND(M79="Yangtze",C79&gt;95,D79&lt;36), "Yunnan")</f>
        <v>Northeast Tibet</v>
      </c>
      <c r="M79" s="26" t="s">
        <v>379</v>
      </c>
      <c r="N79" s="19">
        <v>3193</v>
      </c>
      <c r="O79" s="20" t="s">
        <v>65</v>
      </c>
      <c r="P79" s="3" t="s">
        <v>362</v>
      </c>
      <c r="Q79" s="13"/>
      <c r="R79" s="13"/>
      <c r="T79" s="3"/>
      <c r="U79" s="21"/>
    </row>
    <row r="80" spans="1:21">
      <c r="A80" s="3" t="s">
        <v>406</v>
      </c>
      <c r="B80" s="18" t="s">
        <v>336</v>
      </c>
      <c r="C80" s="27">
        <v>100.6908</v>
      </c>
      <c r="D80" s="27">
        <v>36.547800000000002</v>
      </c>
      <c r="E80" s="16">
        <v>-149</v>
      </c>
      <c r="F80" s="16">
        <v>-149</v>
      </c>
      <c r="G80" s="16">
        <v>-148</v>
      </c>
      <c r="H80" s="16">
        <v>2.0003322232020495</v>
      </c>
      <c r="I80" s="17">
        <f t="shared" si="1"/>
        <v>2.4746682071387207</v>
      </c>
      <c r="J80" s="16" t="s">
        <v>152</v>
      </c>
      <c r="K80" s="19">
        <v>67</v>
      </c>
      <c r="L80" s="19" t="str" cm="1">
        <f t="array" ref="L80">_xlfn.IFS(AND(M80="Brahmaputra"), "Himalaya",   AND(C80&lt;95,D80&gt;32.5), "Central Tibet",   AND(C80&gt;95,D80&gt;36), "Northeast Tibet",   AND(M80="Mekong"), "Yunnan",   AND(M80="Yangtze",C80&gt;95,D80&lt;36), "Yunnan")</f>
        <v>Northeast Tibet</v>
      </c>
      <c r="M80" s="26" t="s">
        <v>379</v>
      </c>
      <c r="N80" s="19">
        <v>3193</v>
      </c>
      <c r="O80" s="20" t="s">
        <v>66</v>
      </c>
      <c r="P80" s="3" t="s">
        <v>362</v>
      </c>
      <c r="Q80" s="13"/>
      <c r="R80" s="13"/>
      <c r="T80" s="3"/>
      <c r="U80" s="21"/>
    </row>
    <row r="81" spans="1:21">
      <c r="A81" s="3" t="s">
        <v>406</v>
      </c>
      <c r="B81" s="18" t="s">
        <v>337</v>
      </c>
      <c r="C81" s="27">
        <v>100.2711</v>
      </c>
      <c r="D81" s="27">
        <v>36.6539</v>
      </c>
      <c r="E81" s="16">
        <v>-172</v>
      </c>
      <c r="F81" s="16">
        <v>-155</v>
      </c>
      <c r="G81" s="16"/>
      <c r="H81" s="16">
        <v>2.0003322232020495</v>
      </c>
      <c r="I81" s="17">
        <f t="shared" si="1"/>
        <v>2.4746682071387207</v>
      </c>
      <c r="J81" s="16" t="s">
        <v>152</v>
      </c>
      <c r="K81" s="19">
        <v>68</v>
      </c>
      <c r="L81" s="19" t="str" cm="1">
        <f t="array" ref="L81">_xlfn.IFS(AND(M81="Brahmaputra"), "Himalaya",   AND(C81&lt;95,D81&gt;32.5), "Central Tibet",   AND(C81&gt;95,D81&gt;36), "Northeast Tibet",   AND(M81="Mekong"), "Yunnan",   AND(M81="Yangtze",C81&gt;95,D81&lt;36), "Yunnan")</f>
        <v>Northeast Tibet</v>
      </c>
      <c r="M81" s="26" t="s">
        <v>379</v>
      </c>
      <c r="N81" s="19">
        <v>3193</v>
      </c>
      <c r="O81" s="20" t="s">
        <v>67</v>
      </c>
      <c r="P81" s="3" t="s">
        <v>362</v>
      </c>
      <c r="Q81" s="13"/>
      <c r="R81" s="13"/>
      <c r="T81" s="3"/>
      <c r="U81" s="21"/>
    </row>
    <row r="82" spans="1:21">
      <c r="A82" s="3" t="s">
        <v>406</v>
      </c>
      <c r="B82" s="18" t="s">
        <v>338</v>
      </c>
      <c r="C82" s="27">
        <v>99.633600000000001</v>
      </c>
      <c r="D82" s="27">
        <v>36.901699999999998</v>
      </c>
      <c r="E82" s="16">
        <v>-159</v>
      </c>
      <c r="F82" s="16">
        <v>-162</v>
      </c>
      <c r="G82" s="16">
        <v>-161</v>
      </c>
      <c r="H82" s="16">
        <v>2.0003322232020495</v>
      </c>
      <c r="I82" s="17">
        <f t="shared" si="1"/>
        <v>2.4746682071387207</v>
      </c>
      <c r="J82" s="16" t="s">
        <v>152</v>
      </c>
      <c r="K82" s="19">
        <v>69</v>
      </c>
      <c r="L82" s="19" t="str" cm="1">
        <f t="array" ref="L82">_xlfn.IFS(AND(M82="Brahmaputra"), "Himalaya",   AND(C82&lt;95,D82&gt;32.5), "Central Tibet",   AND(C82&gt;95,D82&gt;36), "Northeast Tibet",   AND(M82="Mekong"), "Yunnan",   AND(M82="Yangtze",C82&gt;95,D82&lt;36), "Yunnan")</f>
        <v>Northeast Tibet</v>
      </c>
      <c r="M82" s="26" t="s">
        <v>379</v>
      </c>
      <c r="N82" s="19">
        <v>3193</v>
      </c>
      <c r="O82" s="20" t="s">
        <v>68</v>
      </c>
      <c r="P82" s="3" t="s">
        <v>362</v>
      </c>
      <c r="Q82" s="13"/>
      <c r="R82" s="13"/>
      <c r="T82" s="3"/>
      <c r="U82" s="21"/>
    </row>
    <row r="83" spans="1:21">
      <c r="B83" s="18" t="s">
        <v>339</v>
      </c>
      <c r="C83" s="27">
        <v>94.125799999999998</v>
      </c>
      <c r="D83" s="27">
        <v>35.7194</v>
      </c>
      <c r="E83" s="16">
        <v>-177</v>
      </c>
      <c r="F83" s="16">
        <v>-182</v>
      </c>
      <c r="G83" s="16">
        <v>-177</v>
      </c>
      <c r="H83" s="16">
        <v>2.0003322232020495</v>
      </c>
      <c r="I83" s="17">
        <f t="shared" si="1"/>
        <v>2.4746682071387207</v>
      </c>
      <c r="J83" s="16" t="s">
        <v>152</v>
      </c>
      <c r="K83" s="19">
        <v>70</v>
      </c>
      <c r="L83" s="19" t="str" cm="1">
        <f t="array" ref="L83">_xlfn.IFS(AND(M83="Brahmaputra"), "Himalaya",   AND(C83&lt;95,D83&gt;32.5), "Central Tibet",   AND(C83&gt;95,D83&gt;36), "Northeast Tibet",   AND(M83="Mekong"), "Yunnan",   AND(M83="Yangtze",C83&gt;95,D83&lt;36), "Yunnan")</f>
        <v>Central Tibet</v>
      </c>
      <c r="M83" s="26" t="s">
        <v>380</v>
      </c>
      <c r="N83" s="19">
        <v>4446</v>
      </c>
      <c r="O83" s="3" t="s">
        <v>69</v>
      </c>
      <c r="P83" s="15"/>
      <c r="Q83" s="13"/>
      <c r="R83" s="13"/>
      <c r="T83" s="3"/>
      <c r="U83" s="18"/>
    </row>
    <row r="84" spans="1:21">
      <c r="B84" s="18" t="s">
        <v>340</v>
      </c>
      <c r="C84" s="27">
        <v>93.866100000000003</v>
      </c>
      <c r="D84" s="27">
        <v>35.515549999999998</v>
      </c>
      <c r="E84" s="16">
        <v>-158</v>
      </c>
      <c r="F84" s="16">
        <v>-169</v>
      </c>
      <c r="G84" s="16">
        <v>-165</v>
      </c>
      <c r="H84" s="16">
        <v>2.0003322232020495</v>
      </c>
      <c r="I84" s="17">
        <f t="shared" si="1"/>
        <v>2.4746682071387207</v>
      </c>
      <c r="J84" s="16" t="s">
        <v>152</v>
      </c>
      <c r="K84" s="19">
        <v>71</v>
      </c>
      <c r="L84" s="19" t="str" cm="1">
        <f t="array" ref="L84">_xlfn.IFS(AND(M84="Brahmaputra"), "Himalaya",   AND(C84&lt;95,D84&gt;32.5), "Central Tibet",   AND(C84&gt;95,D84&gt;36), "Northeast Tibet",   AND(M84="Mekong"), "Yunnan",   AND(M84="Yangtze",C84&gt;95,D84&lt;36), "Yunnan")</f>
        <v>Central Tibet</v>
      </c>
      <c r="M84" s="26" t="s">
        <v>379</v>
      </c>
      <c r="N84" s="19">
        <v>4605</v>
      </c>
      <c r="O84" s="3" t="s">
        <v>69</v>
      </c>
      <c r="P84" s="15"/>
      <c r="Q84" s="13"/>
      <c r="R84" s="13"/>
      <c r="T84" s="3"/>
      <c r="U84" s="18"/>
    </row>
    <row r="85" spans="1:21">
      <c r="B85" s="18" t="s">
        <v>341</v>
      </c>
      <c r="C85" s="27">
        <v>93.640066666666669</v>
      </c>
      <c r="D85" s="27">
        <v>35.470283333333334</v>
      </c>
      <c r="E85" s="16">
        <v>-185</v>
      </c>
      <c r="F85" s="16">
        <v>-187</v>
      </c>
      <c r="G85" s="16">
        <v>-180</v>
      </c>
      <c r="H85" s="16">
        <v>2.0003322232020495</v>
      </c>
      <c r="I85" s="17">
        <f t="shared" si="1"/>
        <v>2.4746682071387207</v>
      </c>
      <c r="J85" s="16" t="s">
        <v>152</v>
      </c>
      <c r="K85" s="19">
        <v>72</v>
      </c>
      <c r="L85" s="19" t="str" cm="1">
        <f t="array" ref="L85">_xlfn.IFS(AND(M85="Brahmaputra"), "Himalaya",   AND(C85&lt;95,D85&gt;32.5), "Central Tibet",   AND(C85&gt;95,D85&gt;36), "Northeast Tibet",   AND(M85="Mekong"), "Yunnan",   AND(M85="Yangtze",C85&gt;95,D85&lt;36), "Yunnan")</f>
        <v>Central Tibet</v>
      </c>
      <c r="M85" s="26" t="s">
        <v>379</v>
      </c>
      <c r="N85" s="19">
        <v>4497</v>
      </c>
      <c r="O85" s="3" t="s">
        <v>69</v>
      </c>
      <c r="P85" s="15"/>
      <c r="Q85" s="13"/>
      <c r="R85" s="13"/>
      <c r="T85" s="3"/>
      <c r="U85" s="18"/>
    </row>
    <row r="86" spans="1:21">
      <c r="B86" s="18" t="s">
        <v>342</v>
      </c>
      <c r="C86" s="27">
        <v>93.270166666666668</v>
      </c>
      <c r="D86" s="27">
        <v>35.291066666666666</v>
      </c>
      <c r="E86" s="16">
        <v>-193</v>
      </c>
      <c r="F86" s="16">
        <v>-199</v>
      </c>
      <c r="G86" s="16">
        <v>-202</v>
      </c>
      <c r="H86" s="16">
        <v>2.0003322232020495</v>
      </c>
      <c r="I86" s="17">
        <f t="shared" si="1"/>
        <v>2.4746682071387207</v>
      </c>
      <c r="J86" s="16" t="s">
        <v>152</v>
      </c>
      <c r="K86" s="19">
        <v>73</v>
      </c>
      <c r="L86" s="19" t="str" cm="1">
        <f t="array" ref="L86">_xlfn.IFS(AND(M86="Brahmaputra"), "Himalaya",   AND(C86&lt;95,D86&gt;32.5), "Central Tibet",   AND(C86&gt;95,D86&gt;36), "Northeast Tibet",   AND(M86="Mekong"), "Yunnan",   AND(M86="Yangtze",C86&gt;95,D86&lt;36), "Yunnan")</f>
        <v>Central Tibet</v>
      </c>
      <c r="M86" s="26" t="s">
        <v>379</v>
      </c>
      <c r="N86" s="19">
        <v>4568</v>
      </c>
      <c r="O86" s="3" t="s">
        <v>69</v>
      </c>
      <c r="P86" s="15"/>
      <c r="Q86" s="13"/>
      <c r="R86" s="13"/>
      <c r="T86" s="3"/>
      <c r="U86" s="18"/>
    </row>
    <row r="87" spans="1:21">
      <c r="B87" s="18" t="s">
        <v>343</v>
      </c>
      <c r="C87" s="27">
        <v>93.040199999999999</v>
      </c>
      <c r="D87" s="27">
        <v>35.152216666666668</v>
      </c>
      <c r="E87" s="16">
        <v>-172</v>
      </c>
      <c r="F87" s="16">
        <v>-183</v>
      </c>
      <c r="G87" s="16">
        <v>-180</v>
      </c>
      <c r="H87" s="16">
        <v>2.0003322232020495</v>
      </c>
      <c r="I87" s="17">
        <f t="shared" si="1"/>
        <v>2.4746682071387207</v>
      </c>
      <c r="J87" s="16" t="s">
        <v>152</v>
      </c>
      <c r="K87" s="19">
        <v>74</v>
      </c>
      <c r="L87" s="19" t="str" cm="1">
        <f t="array" ref="L87">_xlfn.IFS(AND(M87="Brahmaputra"), "Himalaya",   AND(C87&lt;95,D87&gt;32.5), "Central Tibet",   AND(C87&gt;95,D87&gt;36), "Northeast Tibet",   AND(M87="Mekong"), "Yunnan",   AND(M87="Yangtze",C87&gt;95,D87&lt;36), "Yunnan")</f>
        <v>Central Tibet</v>
      </c>
      <c r="M87" s="26" t="s">
        <v>379</v>
      </c>
      <c r="N87" s="19">
        <v>4698</v>
      </c>
      <c r="O87" s="3" t="s">
        <v>69</v>
      </c>
      <c r="P87" s="15"/>
      <c r="Q87" s="13"/>
      <c r="R87" s="13"/>
      <c r="T87" s="3"/>
      <c r="U87" s="18"/>
    </row>
    <row r="88" spans="1:21">
      <c r="B88" s="18" t="s">
        <v>344</v>
      </c>
      <c r="C88" s="27">
        <v>92.903966666666662</v>
      </c>
      <c r="D88" s="27">
        <v>34.776783333333334</v>
      </c>
      <c r="E88" s="16">
        <v>-166</v>
      </c>
      <c r="F88" s="16">
        <v>-178</v>
      </c>
      <c r="G88" s="16">
        <v>-177</v>
      </c>
      <c r="H88" s="16">
        <v>2.0003322232020495</v>
      </c>
      <c r="I88" s="17">
        <f t="shared" si="1"/>
        <v>2.4746682071387207</v>
      </c>
      <c r="J88" s="16" t="s">
        <v>152</v>
      </c>
      <c r="K88" s="19">
        <v>75</v>
      </c>
      <c r="L88" s="19" t="str" cm="1">
        <f t="array" ref="L88">_xlfn.IFS(AND(M88="Brahmaputra"), "Himalaya",   AND(C88&lt;95,D88&gt;32.5), "Central Tibet",   AND(C88&gt;95,D88&gt;36), "Northeast Tibet",   AND(M88="Mekong"), "Yunnan",   AND(M88="Yangtze",C88&gt;95,D88&lt;36), "Yunnan")</f>
        <v>Central Tibet</v>
      </c>
      <c r="M88" s="26" t="s">
        <v>379</v>
      </c>
      <c r="N88" s="19">
        <v>4684</v>
      </c>
      <c r="O88" s="3" t="s">
        <v>69</v>
      </c>
      <c r="P88" s="15"/>
      <c r="Q88" s="13"/>
      <c r="R88" s="13"/>
      <c r="T88" s="3"/>
      <c r="U88" s="18"/>
    </row>
    <row r="89" spans="1:21">
      <c r="B89" s="18" t="s">
        <v>345</v>
      </c>
      <c r="C89" s="27">
        <v>92.509266666666662</v>
      </c>
      <c r="D89" s="27">
        <v>34.29311666666667</v>
      </c>
      <c r="E89" s="16">
        <v>-165</v>
      </c>
      <c r="F89" s="16">
        <v>-183</v>
      </c>
      <c r="G89" s="16">
        <v>-204</v>
      </c>
      <c r="H89" s="16">
        <v>2.0003322232020495</v>
      </c>
      <c r="I89" s="17">
        <f t="shared" si="1"/>
        <v>2.4746682071387207</v>
      </c>
      <c r="J89" s="16" t="s">
        <v>152</v>
      </c>
      <c r="K89" s="19">
        <v>76</v>
      </c>
      <c r="L89" s="19" t="str" cm="1">
        <f t="array" ref="L89">_xlfn.IFS(AND(M89="Brahmaputra"), "Himalaya",   AND(C89&lt;95,D89&gt;32.5), "Central Tibet",   AND(C89&gt;95,D89&gt;36), "Northeast Tibet",   AND(M89="Mekong"), "Yunnan",   AND(M89="Yangtze",C89&gt;95,D89&lt;36), "Yunnan")</f>
        <v>Central Tibet</v>
      </c>
      <c r="M89" s="26" t="s">
        <v>379</v>
      </c>
      <c r="N89" s="19">
        <v>4582</v>
      </c>
      <c r="O89" s="3" t="s">
        <v>69</v>
      </c>
      <c r="P89" s="15"/>
      <c r="Q89" s="13"/>
      <c r="R89" s="13"/>
      <c r="T89" s="3"/>
      <c r="U89" s="18"/>
    </row>
    <row r="90" spans="1:21">
      <c r="B90" s="18" t="s">
        <v>346</v>
      </c>
      <c r="C90" s="27">
        <v>92.335033333333328</v>
      </c>
      <c r="D90" s="27">
        <v>34.08755</v>
      </c>
      <c r="E90" s="16">
        <v>-200</v>
      </c>
      <c r="F90" s="16">
        <v>-199</v>
      </c>
      <c r="G90" s="16">
        <v>-197</v>
      </c>
      <c r="H90" s="16">
        <v>2.0003322232020495</v>
      </c>
      <c r="I90" s="17">
        <f t="shared" si="1"/>
        <v>2.4746682071387207</v>
      </c>
      <c r="J90" s="16" t="s">
        <v>152</v>
      </c>
      <c r="K90" s="19">
        <v>77</v>
      </c>
      <c r="L90" s="19" t="str" cm="1">
        <f t="array" ref="L90">_xlfn.IFS(AND(M90="Brahmaputra"), "Himalaya",   AND(C90&lt;95,D90&gt;32.5), "Central Tibet",   AND(C90&gt;95,D90&gt;36), "Northeast Tibet",   AND(M90="Mekong"), "Yunnan",   AND(M90="Yangtze",C90&gt;95,D90&lt;36), "Yunnan")</f>
        <v>Central Tibet</v>
      </c>
      <c r="M90" s="26" t="s">
        <v>379</v>
      </c>
      <c r="N90" s="19">
        <v>4759</v>
      </c>
      <c r="O90" s="3" t="s">
        <v>69</v>
      </c>
      <c r="P90" s="15"/>
      <c r="Q90" s="13"/>
      <c r="R90" s="13"/>
      <c r="T90" s="3"/>
      <c r="U90" s="18"/>
    </row>
    <row r="91" spans="1:21">
      <c r="B91" s="18" t="s">
        <v>347</v>
      </c>
      <c r="C91" s="27">
        <v>92.277816666666666</v>
      </c>
      <c r="D91" s="27">
        <v>33.785966666666667</v>
      </c>
      <c r="E91" s="16">
        <v>-203</v>
      </c>
      <c r="F91" s="16">
        <v>-200</v>
      </c>
      <c r="G91" s="16">
        <v>-208</v>
      </c>
      <c r="H91" s="16">
        <v>2.0003322232020495</v>
      </c>
      <c r="I91" s="17">
        <f t="shared" si="1"/>
        <v>2.4746682071387207</v>
      </c>
      <c r="J91" s="16" t="s">
        <v>152</v>
      </c>
      <c r="K91" s="19">
        <v>78</v>
      </c>
      <c r="L91" s="19" t="str" cm="1">
        <f t="array" ref="L91">_xlfn.IFS(AND(M91="Brahmaputra"), "Himalaya",   AND(C91&lt;95,D91&gt;32.5), "Central Tibet",   AND(C91&gt;95,D91&gt;36), "Northeast Tibet",   AND(M91="Mekong"), "Yunnan",   AND(M91="Yangtze",C91&gt;95,D91&lt;36), "Yunnan")</f>
        <v>Central Tibet</v>
      </c>
      <c r="M91" s="26" t="s">
        <v>379</v>
      </c>
      <c r="N91" s="19">
        <v>4624</v>
      </c>
      <c r="O91" s="3" t="s">
        <v>69</v>
      </c>
      <c r="P91" s="15"/>
      <c r="Q91" s="13"/>
      <c r="R91" s="13"/>
      <c r="T91" s="3"/>
      <c r="U91" s="18"/>
    </row>
    <row r="92" spans="1:21">
      <c r="B92" s="18" t="s">
        <v>348</v>
      </c>
      <c r="C92" s="27">
        <v>91.896000000000001</v>
      </c>
      <c r="D92" s="27">
        <v>33.323166666666665</v>
      </c>
      <c r="E92" s="16">
        <v>-198</v>
      </c>
      <c r="F92" s="16">
        <v>-199</v>
      </c>
      <c r="G92" s="16">
        <v>-206</v>
      </c>
      <c r="H92" s="16">
        <v>2.0003322232020495</v>
      </c>
      <c r="I92" s="17">
        <f t="shared" si="1"/>
        <v>2.4746682071387207</v>
      </c>
      <c r="J92" s="16" t="s">
        <v>152</v>
      </c>
      <c r="K92" s="19">
        <v>79</v>
      </c>
      <c r="L92" s="19" t="str" cm="1">
        <f t="array" ref="L92">_xlfn.IFS(AND(M92="Brahmaputra"), "Himalaya",   AND(C92&lt;95,D92&gt;32.5), "Central Tibet",   AND(C92&gt;95,D92&gt;36), "Northeast Tibet",   AND(M92="Mekong"), "Yunnan",   AND(M92="Yangtze",C92&gt;95,D92&lt;36), "Yunnan")</f>
        <v>Central Tibet</v>
      </c>
      <c r="M92" s="26" t="s">
        <v>379</v>
      </c>
      <c r="N92" s="19">
        <v>4810</v>
      </c>
      <c r="O92" s="3" t="s">
        <v>69</v>
      </c>
      <c r="P92" s="15"/>
      <c r="Q92" s="13"/>
      <c r="R92" s="13"/>
      <c r="T92" s="3"/>
      <c r="U92" s="18"/>
    </row>
    <row r="93" spans="1:21">
      <c r="B93" s="18" t="s">
        <v>349</v>
      </c>
      <c r="C93" s="27">
        <v>91.790649999999999</v>
      </c>
      <c r="D93" s="27">
        <v>33.089199999999998</v>
      </c>
      <c r="E93" s="16">
        <v>-192</v>
      </c>
      <c r="F93" s="16">
        <v>-189</v>
      </c>
      <c r="G93" s="16">
        <v>-196</v>
      </c>
      <c r="H93" s="16">
        <v>2.0003322232020495</v>
      </c>
      <c r="I93" s="17">
        <f t="shared" si="1"/>
        <v>2.4746682071387207</v>
      </c>
      <c r="J93" s="16" t="s">
        <v>152</v>
      </c>
      <c r="K93" s="19">
        <v>80</v>
      </c>
      <c r="L93" s="19" t="str" cm="1">
        <f t="array" ref="L93">_xlfn.IFS(AND(M93="Brahmaputra"), "Himalaya",   AND(C93&lt;95,D93&gt;32.5), "Central Tibet",   AND(C93&gt;95,D93&gt;36), "Northeast Tibet",   AND(M93="Mekong"), "Yunnan",   AND(M93="Yangtze",C93&gt;95,D93&lt;36), "Yunnan")</f>
        <v>Central Tibet</v>
      </c>
      <c r="M93" s="26" t="s">
        <v>379</v>
      </c>
      <c r="N93" s="19">
        <v>4951</v>
      </c>
      <c r="O93" s="3" t="s">
        <v>69</v>
      </c>
      <c r="P93" s="15"/>
      <c r="Q93" s="13"/>
      <c r="R93" s="13"/>
      <c r="T93" s="3"/>
      <c r="U93" s="18"/>
    </row>
    <row r="94" spans="1:21">
      <c r="B94" s="18" t="s">
        <v>350</v>
      </c>
      <c r="C94" s="27">
        <v>91.994799999999998</v>
      </c>
      <c r="D94" s="27">
        <v>33.022516666666668</v>
      </c>
      <c r="E94" s="16">
        <v>-171</v>
      </c>
      <c r="F94" s="16">
        <v>-196</v>
      </c>
      <c r="G94" s="16">
        <v>-204</v>
      </c>
      <c r="H94" s="16">
        <v>2.0003322232020495</v>
      </c>
      <c r="I94" s="17">
        <f t="shared" si="1"/>
        <v>2.4746682071387207</v>
      </c>
      <c r="J94" s="16" t="s">
        <v>152</v>
      </c>
      <c r="K94" s="19">
        <v>81</v>
      </c>
      <c r="L94" s="19" t="str" cm="1">
        <f t="array" ref="L94">_xlfn.IFS(AND(M94="Brahmaputra"), "Himalaya",   AND(C94&lt;95,D94&gt;32.5), "Central Tibet",   AND(C94&gt;95,D94&gt;36), "Northeast Tibet",   AND(M94="Mekong"), "Yunnan",   AND(M94="Yangtze",C94&gt;95,D94&lt;36), "Yunnan")</f>
        <v>Central Tibet</v>
      </c>
      <c r="M94" s="26" t="s">
        <v>379</v>
      </c>
      <c r="N94" s="19">
        <v>5117</v>
      </c>
      <c r="O94" s="3" t="s">
        <v>69</v>
      </c>
      <c r="P94" s="15"/>
      <c r="Q94" s="13"/>
      <c r="R94" s="13"/>
      <c r="T94" s="3"/>
      <c r="U94" s="18"/>
    </row>
    <row r="95" spans="1:21">
      <c r="B95" s="18" t="s">
        <v>351</v>
      </c>
      <c r="C95" s="27">
        <v>92.005216666666669</v>
      </c>
      <c r="D95" s="27">
        <v>33.031149999999997</v>
      </c>
      <c r="E95" s="16">
        <v>-234</v>
      </c>
      <c r="F95" s="16">
        <v>-224</v>
      </c>
      <c r="G95" s="16">
        <v>-219</v>
      </c>
      <c r="H95" s="16">
        <v>2.0003322232020495</v>
      </c>
      <c r="I95" s="17">
        <f t="shared" si="1"/>
        <v>2.4746682071387207</v>
      </c>
      <c r="J95" s="16" t="s">
        <v>152</v>
      </c>
      <c r="K95" s="19">
        <v>82</v>
      </c>
      <c r="L95" s="19" t="str" cm="1">
        <f t="array" ref="L95">_xlfn.IFS(AND(M95="Brahmaputra"), "Himalaya",   AND(C95&lt;95,D95&gt;32.5), "Central Tibet",   AND(C95&gt;95,D95&gt;36), "Northeast Tibet",   AND(M95="Mekong"), "Yunnan",   AND(M95="Yangtze",C95&gt;95,D95&lt;36), "Yunnan")</f>
        <v>Central Tibet</v>
      </c>
      <c r="M95" s="26" t="s">
        <v>379</v>
      </c>
      <c r="N95" s="19">
        <v>5143</v>
      </c>
      <c r="O95" s="3" t="s">
        <v>69</v>
      </c>
      <c r="P95" s="15"/>
      <c r="Q95" s="13"/>
      <c r="R95" s="13"/>
      <c r="T95" s="3"/>
      <c r="U95" s="18"/>
    </row>
    <row r="96" spans="1:21">
      <c r="B96" s="18" t="s">
        <v>352</v>
      </c>
      <c r="C96" s="27">
        <v>92.03295</v>
      </c>
      <c r="D96" s="27">
        <v>33.040683333333334</v>
      </c>
      <c r="E96" s="16">
        <v>-199</v>
      </c>
      <c r="F96" s="16">
        <v>-209</v>
      </c>
      <c r="G96" s="16">
        <v>-213</v>
      </c>
      <c r="H96" s="16">
        <v>2.0003322232020495</v>
      </c>
      <c r="I96" s="17">
        <f t="shared" si="1"/>
        <v>2.4746682071387207</v>
      </c>
      <c r="J96" s="16" t="s">
        <v>152</v>
      </c>
      <c r="K96" s="19">
        <v>83</v>
      </c>
      <c r="L96" s="19" t="str" cm="1">
        <f t="array" ref="L96">_xlfn.IFS(AND(M96="Brahmaputra"), "Himalaya",   AND(C96&lt;95,D96&gt;32.5), "Central Tibet",   AND(C96&gt;95,D96&gt;36), "Northeast Tibet",   AND(M96="Mekong"), "Yunnan",   AND(M96="Yangtze",C96&gt;95,D96&lt;36), "Yunnan")</f>
        <v>Central Tibet</v>
      </c>
      <c r="M96" s="26" t="s">
        <v>379</v>
      </c>
      <c r="N96" s="19">
        <v>5233</v>
      </c>
      <c r="O96" s="3" t="s">
        <v>69</v>
      </c>
      <c r="P96" s="15"/>
      <c r="Q96" s="13"/>
      <c r="R96" s="13"/>
      <c r="T96" s="3"/>
      <c r="U96" s="18"/>
    </row>
    <row r="97" spans="2:21">
      <c r="B97" s="18" t="s">
        <v>353</v>
      </c>
      <c r="C97" s="27">
        <v>91.991066666666669</v>
      </c>
      <c r="D97" s="27">
        <v>33.014833333333335</v>
      </c>
      <c r="E97" s="16">
        <v>-206</v>
      </c>
      <c r="F97" s="16">
        <v>-203</v>
      </c>
      <c r="G97" s="16">
        <v>-209</v>
      </c>
      <c r="H97" s="16">
        <v>2.0003322232020495</v>
      </c>
      <c r="I97" s="17">
        <f t="shared" si="1"/>
        <v>2.4746682071387207</v>
      </c>
      <c r="J97" s="16" t="s">
        <v>152</v>
      </c>
      <c r="K97" s="19">
        <v>84</v>
      </c>
      <c r="L97" s="19" t="str" cm="1">
        <f t="array" ref="L97">_xlfn.IFS(AND(M97="Brahmaputra"), "Himalaya",   AND(C97&lt;95,D97&gt;32.5), "Central Tibet",   AND(C97&gt;95,D97&gt;36), "Northeast Tibet",   AND(M97="Mekong"), "Yunnan",   AND(M97="Yangtze",C97&gt;95,D97&lt;36), "Yunnan")</f>
        <v>Central Tibet</v>
      </c>
      <c r="M97" s="26" t="s">
        <v>379</v>
      </c>
      <c r="N97" s="19">
        <v>5123</v>
      </c>
      <c r="O97" s="3" t="s">
        <v>69</v>
      </c>
      <c r="P97" s="15"/>
      <c r="Q97" s="13"/>
      <c r="R97" s="13"/>
      <c r="T97" s="3"/>
      <c r="U97" s="18"/>
    </row>
    <row r="98" spans="2:21">
      <c r="B98" s="18" t="s">
        <v>354</v>
      </c>
      <c r="C98" s="27">
        <v>91.670016666666669</v>
      </c>
      <c r="D98" s="27">
        <v>33.012916666666669</v>
      </c>
      <c r="E98" s="16">
        <v>-212</v>
      </c>
      <c r="F98" s="16">
        <v>-216</v>
      </c>
      <c r="G98" s="16">
        <v>-217</v>
      </c>
      <c r="H98" s="16">
        <v>2.0003322232020495</v>
      </c>
      <c r="I98" s="17">
        <f t="shared" si="1"/>
        <v>2.4746682071387207</v>
      </c>
      <c r="J98" s="16" t="s">
        <v>152</v>
      </c>
      <c r="K98" s="19">
        <v>85</v>
      </c>
      <c r="L98" s="19" t="str" cm="1">
        <f t="array" ref="L98">_xlfn.IFS(AND(M98="Brahmaputra"), "Himalaya",   AND(C98&lt;95,D98&gt;32.5), "Central Tibet",   AND(C98&gt;95,D98&gt;36), "Northeast Tibet",   AND(M98="Mekong"), "Yunnan",   AND(M98="Yangtze",C98&gt;95,D98&lt;36), "Yunnan")</f>
        <v>Himalaya</v>
      </c>
      <c r="M98" s="26" t="s">
        <v>378</v>
      </c>
      <c r="N98" s="19">
        <v>5085</v>
      </c>
      <c r="O98" s="3" t="s">
        <v>69</v>
      </c>
      <c r="P98" s="15"/>
      <c r="Q98" s="13"/>
      <c r="R98" s="13"/>
      <c r="T98" s="3"/>
      <c r="U98" s="18"/>
    </row>
    <row r="99" spans="2:21">
      <c r="B99" s="21" t="s">
        <v>70</v>
      </c>
      <c r="C99" s="22">
        <v>97.033799999999999</v>
      </c>
      <c r="D99" s="22">
        <v>28.467700000000001</v>
      </c>
      <c r="E99" s="16">
        <v>-187.4</v>
      </c>
      <c r="F99" s="16">
        <v>-179.5</v>
      </c>
      <c r="G99" s="16">
        <v>-179.6</v>
      </c>
      <c r="H99" s="16">
        <v>2.0003322232020495</v>
      </c>
      <c r="I99" s="17">
        <f t="shared" si="1"/>
        <v>2.4746682071387207</v>
      </c>
      <c r="J99" s="16" t="s">
        <v>152</v>
      </c>
      <c r="K99" s="19">
        <v>86</v>
      </c>
      <c r="L99" s="19" t="str" cm="1">
        <f t="array" ref="L99">_xlfn.IFS(AND(M99="Brahmaputra"), "Himalaya",   AND(C99&lt;95,D99&gt;32.5), "Central Tibet",   AND(C99&gt;95,D99&gt;36), "Northeast Tibet",   AND(M99="Mekong"), "Yunnan",   AND(M99="Yangtze",C99&gt;95,D99&lt;36), "Yunnan")</f>
        <v>Himalaya</v>
      </c>
      <c r="M99" s="26" t="s">
        <v>378</v>
      </c>
      <c r="N99" s="23">
        <v>1514</v>
      </c>
      <c r="O99" s="3" t="s">
        <v>155</v>
      </c>
      <c r="P99" s="21"/>
      <c r="Q99" s="13"/>
      <c r="R99" s="13"/>
      <c r="T99" s="3"/>
      <c r="U99" s="18"/>
    </row>
    <row r="100" spans="2:21">
      <c r="B100" s="21" t="s">
        <v>71</v>
      </c>
      <c r="C100" s="22">
        <v>97.078800000000001</v>
      </c>
      <c r="D100" s="22">
        <v>28.511399999999998</v>
      </c>
      <c r="E100" s="16">
        <v>-189</v>
      </c>
      <c r="F100" s="16">
        <v>-186</v>
      </c>
      <c r="G100" s="16">
        <v>-190</v>
      </c>
      <c r="H100" s="16">
        <v>2.0003322232020495</v>
      </c>
      <c r="I100" s="17">
        <f t="shared" si="1"/>
        <v>2.4746682071387207</v>
      </c>
      <c r="J100" s="16" t="s">
        <v>152</v>
      </c>
      <c r="K100" s="19">
        <v>87</v>
      </c>
      <c r="L100" s="19" t="str" cm="1">
        <f t="array" ref="L100">_xlfn.IFS(AND(M100="Brahmaputra"), "Himalaya",   AND(C100&lt;95,D100&gt;32.5), "Central Tibet",   AND(C100&gt;95,D100&gt;36), "Northeast Tibet",   AND(M100="Mekong"), "Yunnan",   AND(M100="Yangtze",C100&gt;95,D100&lt;36), "Yunnan")</f>
        <v>Himalaya</v>
      </c>
      <c r="M100" s="26" t="s">
        <v>378</v>
      </c>
      <c r="N100" s="23">
        <v>1468</v>
      </c>
      <c r="O100" s="3" t="s">
        <v>156</v>
      </c>
      <c r="P100" s="21"/>
      <c r="Q100" s="13"/>
      <c r="R100" s="13"/>
      <c r="T100" s="3"/>
      <c r="U100" s="18"/>
    </row>
    <row r="101" spans="2:21">
      <c r="B101" s="21" t="s">
        <v>72</v>
      </c>
      <c r="C101" s="22">
        <v>97.092399999999998</v>
      </c>
      <c r="D101" s="22">
        <v>28.572500000000002</v>
      </c>
      <c r="E101" s="16">
        <v>-179.2</v>
      </c>
      <c r="F101" s="16">
        <v>-171</v>
      </c>
      <c r="G101" s="16">
        <v>-176.3</v>
      </c>
      <c r="H101" s="16">
        <v>2.0003322232020495</v>
      </c>
      <c r="I101" s="17">
        <f t="shared" si="1"/>
        <v>2.4746682071387207</v>
      </c>
      <c r="J101" s="16" t="s">
        <v>152</v>
      </c>
      <c r="K101" s="19">
        <v>88</v>
      </c>
      <c r="L101" s="19" t="str" cm="1">
        <f t="array" ref="L101">_xlfn.IFS(AND(M101="Brahmaputra"), "Himalaya",   AND(C101&lt;95,D101&gt;32.5), "Central Tibet",   AND(C101&gt;95,D101&gt;36), "Northeast Tibet",   AND(M101="Mekong"), "Yunnan",   AND(M101="Yangtze",C101&gt;95,D101&lt;36), "Yunnan")</f>
        <v>Himalaya</v>
      </c>
      <c r="M101" s="26" t="s">
        <v>378</v>
      </c>
      <c r="N101" s="23">
        <v>1628</v>
      </c>
      <c r="O101" s="3" t="s">
        <v>157</v>
      </c>
      <c r="P101" s="21"/>
      <c r="Q101" s="13"/>
      <c r="R101" s="13"/>
      <c r="T101" s="3"/>
      <c r="U101" s="18"/>
    </row>
    <row r="102" spans="2:21">
      <c r="B102" s="21" t="s">
        <v>73</v>
      </c>
      <c r="C102" s="22">
        <v>97.207999999999998</v>
      </c>
      <c r="D102" s="22">
        <v>28.600899999999999</v>
      </c>
      <c r="E102" s="16">
        <v>-178</v>
      </c>
      <c r="F102" s="16">
        <v>-181</v>
      </c>
      <c r="G102" s="16">
        <v>-186.3</v>
      </c>
      <c r="H102" s="16">
        <v>2.0003322232020495</v>
      </c>
      <c r="I102" s="17">
        <f t="shared" si="1"/>
        <v>2.4746682071387207</v>
      </c>
      <c r="J102" s="16" t="s">
        <v>152</v>
      </c>
      <c r="K102" s="19">
        <v>89</v>
      </c>
      <c r="L102" s="19" t="str" cm="1">
        <f t="array" ref="L102">_xlfn.IFS(AND(M102="Brahmaputra"), "Himalaya",   AND(C102&lt;95,D102&gt;32.5), "Central Tibet",   AND(C102&gt;95,D102&gt;36), "Northeast Tibet",   AND(M102="Mekong"), "Yunnan",   AND(M102="Yangtze",C102&gt;95,D102&lt;36), "Yunnan")</f>
        <v>Himalaya</v>
      </c>
      <c r="M102" s="26" t="s">
        <v>378</v>
      </c>
      <c r="N102" s="23">
        <v>1832</v>
      </c>
      <c r="O102" s="3" t="s">
        <v>158</v>
      </c>
      <c r="P102" s="21"/>
      <c r="Q102" s="13"/>
      <c r="R102" s="13"/>
      <c r="T102" s="3"/>
      <c r="U102" s="18"/>
    </row>
    <row r="103" spans="2:21">
      <c r="B103" s="21" t="s">
        <v>74</v>
      </c>
      <c r="C103" s="22">
        <v>97.344999999999999</v>
      </c>
      <c r="D103" s="22">
        <v>28.620200000000001</v>
      </c>
      <c r="E103" s="16">
        <v>-179.7</v>
      </c>
      <c r="F103" s="16">
        <v>-180.6</v>
      </c>
      <c r="G103" s="16">
        <v>-183.3</v>
      </c>
      <c r="H103" s="16">
        <v>2.0003322232020495</v>
      </c>
      <c r="I103" s="17">
        <f t="shared" si="1"/>
        <v>2.4746682071387207</v>
      </c>
      <c r="J103" s="16" t="s">
        <v>152</v>
      </c>
      <c r="K103" s="19">
        <v>90</v>
      </c>
      <c r="L103" s="19" t="str" cm="1">
        <f t="array" ref="L103">_xlfn.IFS(AND(M103="Brahmaputra"), "Himalaya",   AND(C103&lt;95,D103&gt;32.5), "Central Tibet",   AND(C103&gt;95,D103&gt;36), "Northeast Tibet",   AND(M103="Mekong"), "Yunnan",   AND(M103="Yangtze",C103&gt;95,D103&lt;36), "Yunnan")</f>
        <v>Himalaya</v>
      </c>
      <c r="M103" s="26" t="s">
        <v>378</v>
      </c>
      <c r="N103" s="23">
        <v>2200</v>
      </c>
      <c r="O103" s="3" t="s">
        <v>159</v>
      </c>
      <c r="P103" s="21"/>
      <c r="Q103" s="13"/>
      <c r="R103" s="13"/>
      <c r="T103" s="3"/>
      <c r="U103" s="18"/>
    </row>
    <row r="104" spans="2:21">
      <c r="B104" s="21" t="s">
        <v>75</v>
      </c>
      <c r="C104" s="22">
        <v>97.489699999999999</v>
      </c>
      <c r="D104" s="22">
        <v>28.837499999999999</v>
      </c>
      <c r="E104" s="16">
        <v>-179.1</v>
      </c>
      <c r="F104" s="16">
        <v>-195.6</v>
      </c>
      <c r="G104" s="16">
        <v>-200.3</v>
      </c>
      <c r="H104" s="16">
        <v>2.0003322232020495</v>
      </c>
      <c r="I104" s="17">
        <f t="shared" si="1"/>
        <v>2.4746682071387207</v>
      </c>
      <c r="J104" s="16" t="s">
        <v>152</v>
      </c>
      <c r="K104" s="19">
        <v>91</v>
      </c>
      <c r="L104" s="19" t="str" cm="1">
        <f t="array" ref="L104">_xlfn.IFS(AND(M104="Brahmaputra"), "Himalaya",   AND(C104&lt;95,D104&gt;32.5), "Central Tibet",   AND(C104&gt;95,D104&gt;36), "Northeast Tibet",   AND(M104="Mekong"), "Yunnan",   AND(M104="Yangtze",C104&gt;95,D104&lt;36), "Yunnan")</f>
        <v>Himalaya</v>
      </c>
      <c r="M104" s="26" t="s">
        <v>378</v>
      </c>
      <c r="N104" s="23">
        <v>2614</v>
      </c>
      <c r="O104" s="3" t="s">
        <v>160</v>
      </c>
      <c r="P104" s="21"/>
      <c r="Q104" s="13"/>
      <c r="R104" s="13"/>
      <c r="T104" s="3"/>
      <c r="U104" s="18"/>
    </row>
    <row r="105" spans="2:21">
      <c r="B105" s="21" t="s">
        <v>76</v>
      </c>
      <c r="C105" s="22">
        <v>97.425600000000003</v>
      </c>
      <c r="D105" s="22">
        <v>28.944099999999999</v>
      </c>
      <c r="E105" s="16">
        <v>-190.9</v>
      </c>
      <c r="F105" s="16">
        <v>-197.6</v>
      </c>
      <c r="G105" s="16">
        <v>-199.5</v>
      </c>
      <c r="H105" s="16">
        <v>2.0003322232020495</v>
      </c>
      <c r="I105" s="17">
        <f t="shared" si="1"/>
        <v>2.4746682071387207</v>
      </c>
      <c r="J105" s="16" t="s">
        <v>152</v>
      </c>
      <c r="K105" s="19">
        <v>92</v>
      </c>
      <c r="L105" s="19" t="str" cm="1">
        <f t="array" ref="L105">_xlfn.IFS(AND(M105="Brahmaputra"), "Himalaya",   AND(C105&lt;95,D105&gt;32.5), "Central Tibet",   AND(C105&gt;95,D105&gt;36), "Northeast Tibet",   AND(M105="Mekong"), "Yunnan",   AND(M105="Yangtze",C105&gt;95,D105&lt;36), "Yunnan")</f>
        <v>Himalaya</v>
      </c>
      <c r="M105" s="26" t="s">
        <v>378</v>
      </c>
      <c r="N105" s="23">
        <v>2758</v>
      </c>
      <c r="O105" s="3" t="s">
        <v>161</v>
      </c>
      <c r="P105" s="21"/>
      <c r="Q105" s="13"/>
      <c r="R105" s="13"/>
      <c r="T105" s="3"/>
      <c r="U105" s="18"/>
    </row>
    <row r="106" spans="2:21">
      <c r="B106" s="21" t="s">
        <v>77</v>
      </c>
      <c r="C106" s="22">
        <v>97.402000000000001</v>
      </c>
      <c r="D106" s="22">
        <v>28.9908</v>
      </c>
      <c r="E106" s="16">
        <v>-199.1</v>
      </c>
      <c r="F106" s="16">
        <v>-203.6</v>
      </c>
      <c r="G106" s="16">
        <v>-214.8</v>
      </c>
      <c r="H106" s="16">
        <v>2.0003322232020495</v>
      </c>
      <c r="I106" s="17">
        <f t="shared" si="1"/>
        <v>2.4746682071387207</v>
      </c>
      <c r="J106" s="16" t="s">
        <v>152</v>
      </c>
      <c r="K106" s="19">
        <v>93</v>
      </c>
      <c r="L106" s="19" t="str" cm="1">
        <f t="array" ref="L106">_xlfn.IFS(AND(M106="Brahmaputra"), "Himalaya",   AND(C106&lt;95,D106&gt;32.5), "Central Tibet",   AND(C106&gt;95,D106&gt;36), "Northeast Tibet",   AND(M106="Mekong"), "Yunnan",   AND(M106="Yangtze",C106&gt;95,D106&lt;36), "Yunnan")</f>
        <v>Himalaya</v>
      </c>
      <c r="M106" s="26" t="s">
        <v>378</v>
      </c>
      <c r="N106" s="23">
        <v>2891</v>
      </c>
      <c r="O106" s="3" t="s">
        <v>162</v>
      </c>
      <c r="P106" s="21"/>
      <c r="Q106" s="13"/>
      <c r="R106" s="13"/>
      <c r="T106" s="3"/>
      <c r="U106" s="18"/>
    </row>
    <row r="107" spans="2:21">
      <c r="B107" s="21" t="s">
        <v>78</v>
      </c>
      <c r="C107" s="22">
        <v>97.362200000000001</v>
      </c>
      <c r="D107" s="22">
        <v>29.037800000000001</v>
      </c>
      <c r="E107" s="16">
        <v>-185</v>
      </c>
      <c r="F107" s="16">
        <v>-179</v>
      </c>
      <c r="G107" s="16">
        <v>-188</v>
      </c>
      <c r="H107" s="16">
        <v>2.0003322232020495</v>
      </c>
      <c r="I107" s="17">
        <f t="shared" si="1"/>
        <v>2.4746682071387207</v>
      </c>
      <c r="J107" s="16" t="s">
        <v>152</v>
      </c>
      <c r="K107" s="19">
        <v>94</v>
      </c>
      <c r="L107" s="19" t="str" cm="1">
        <f t="array" ref="L107">_xlfn.IFS(AND(M107="Brahmaputra"), "Himalaya",   AND(C107&lt;95,D107&gt;32.5), "Central Tibet",   AND(C107&gt;95,D107&gt;36), "Northeast Tibet",   AND(M107="Mekong"), "Yunnan",   AND(M107="Yangtze",C107&gt;95,D107&lt;36), "Yunnan")</f>
        <v>Himalaya</v>
      </c>
      <c r="M107" s="26" t="s">
        <v>378</v>
      </c>
      <c r="N107" s="23">
        <v>2931</v>
      </c>
      <c r="O107" s="3" t="s">
        <v>163</v>
      </c>
      <c r="P107" s="21"/>
      <c r="Q107" s="13"/>
      <c r="R107" s="13"/>
      <c r="T107" s="3"/>
      <c r="U107" s="18"/>
    </row>
    <row r="108" spans="2:21">
      <c r="B108" s="21" t="s">
        <v>79</v>
      </c>
      <c r="C108" s="22">
        <v>97.275899999999993</v>
      </c>
      <c r="D108" s="22">
        <v>29.095199999999998</v>
      </c>
      <c r="E108" s="16">
        <v>-207.3</v>
      </c>
      <c r="F108" s="16">
        <v>-214.3</v>
      </c>
      <c r="G108" s="16">
        <v>-212.4</v>
      </c>
      <c r="H108" s="16">
        <v>2.0003322232020495</v>
      </c>
      <c r="I108" s="17">
        <f t="shared" si="1"/>
        <v>2.4746682071387207</v>
      </c>
      <c r="J108" s="16" t="s">
        <v>152</v>
      </c>
      <c r="K108" s="19">
        <v>95</v>
      </c>
      <c r="L108" s="19" t="str" cm="1">
        <f t="array" ref="L108">_xlfn.IFS(AND(M108="Brahmaputra"), "Himalaya",   AND(C108&lt;95,D108&gt;32.5), "Central Tibet",   AND(C108&gt;95,D108&gt;36), "Northeast Tibet",   AND(M108="Mekong"), "Yunnan",   AND(M108="Yangtze",C108&gt;95,D108&lt;36), "Yunnan")</f>
        <v>Himalaya</v>
      </c>
      <c r="M108" s="26" t="s">
        <v>378</v>
      </c>
      <c r="N108" s="23">
        <v>3190</v>
      </c>
      <c r="O108" s="3" t="s">
        <v>164</v>
      </c>
      <c r="P108" s="21"/>
      <c r="Q108" s="13"/>
      <c r="R108" s="13"/>
      <c r="T108" s="3"/>
      <c r="U108" s="18"/>
    </row>
    <row r="109" spans="2:21">
      <c r="B109" s="21" t="s">
        <v>80</v>
      </c>
      <c r="C109" s="22">
        <v>97.200999999999993</v>
      </c>
      <c r="D109" s="22">
        <v>29.171099999999999</v>
      </c>
      <c r="E109" s="16">
        <v>-203.3</v>
      </c>
      <c r="F109" s="16">
        <v>-209.3</v>
      </c>
      <c r="G109" s="16">
        <v>-212.7</v>
      </c>
      <c r="H109" s="16">
        <v>2.0003322232020495</v>
      </c>
      <c r="I109" s="17">
        <f t="shared" si="1"/>
        <v>2.4746682071387207</v>
      </c>
      <c r="J109" s="16" t="s">
        <v>152</v>
      </c>
      <c r="K109" s="19">
        <v>96</v>
      </c>
      <c r="L109" s="19" t="str" cm="1">
        <f t="array" ref="L109">_xlfn.IFS(AND(M109="Brahmaputra"), "Himalaya",   AND(C109&lt;95,D109&gt;32.5), "Central Tibet",   AND(C109&gt;95,D109&gt;36), "Northeast Tibet",   AND(M109="Mekong"), "Yunnan",   AND(M109="Yangtze",C109&gt;95,D109&lt;36), "Yunnan")</f>
        <v>Himalaya</v>
      </c>
      <c r="M109" s="26" t="s">
        <v>378</v>
      </c>
      <c r="N109" s="23">
        <v>3433</v>
      </c>
      <c r="O109" s="3" t="s">
        <v>165</v>
      </c>
      <c r="P109" s="21"/>
      <c r="Q109" s="13"/>
      <c r="R109" s="13"/>
      <c r="T109" s="3"/>
      <c r="U109" s="18"/>
    </row>
    <row r="110" spans="2:21">
      <c r="B110" s="21" t="s">
        <v>81</v>
      </c>
      <c r="C110" s="22">
        <v>97.170699999999997</v>
      </c>
      <c r="D110" s="22">
        <v>29.319800000000001</v>
      </c>
      <c r="E110" s="16">
        <v>-195.4</v>
      </c>
      <c r="F110" s="16">
        <v>-190.9</v>
      </c>
      <c r="G110" s="16">
        <v>-196.3</v>
      </c>
      <c r="H110" s="16">
        <v>2.0003322232020495</v>
      </c>
      <c r="I110" s="17">
        <f t="shared" si="1"/>
        <v>2.4746682071387207</v>
      </c>
      <c r="J110" s="16" t="s">
        <v>152</v>
      </c>
      <c r="K110" s="19">
        <v>97</v>
      </c>
      <c r="L110" s="19" t="str" cm="1">
        <f t="array" ref="L110">_xlfn.IFS(AND(M110="Brahmaputra"), "Himalaya",   AND(C110&lt;95,D110&gt;32.5), "Central Tibet",   AND(C110&gt;95,D110&gt;36), "Northeast Tibet",   AND(M110="Mekong"), "Yunnan",   AND(M110="Yangtze",C110&gt;95,D110&lt;36), "Yunnan")</f>
        <v>Himalaya</v>
      </c>
      <c r="M110" s="26" t="s">
        <v>378</v>
      </c>
      <c r="N110" s="23">
        <v>3732</v>
      </c>
      <c r="O110" s="3" t="s">
        <v>166</v>
      </c>
      <c r="P110" s="21"/>
      <c r="Q110" s="13"/>
      <c r="R110" s="13"/>
      <c r="T110" s="3"/>
      <c r="U110" s="18"/>
    </row>
    <row r="111" spans="2:21">
      <c r="B111" s="21" t="s">
        <v>82</v>
      </c>
      <c r="C111" s="22">
        <v>97.135199999999998</v>
      </c>
      <c r="D111" s="22">
        <v>29.3279</v>
      </c>
      <c r="E111" s="16">
        <v>-194.4</v>
      </c>
      <c r="F111" s="16">
        <v>-194.7</v>
      </c>
      <c r="G111" s="16">
        <v>-197</v>
      </c>
      <c r="H111" s="16">
        <v>2.0003322232020495</v>
      </c>
      <c r="I111" s="17">
        <f t="shared" si="1"/>
        <v>2.4746682071387207</v>
      </c>
      <c r="J111" s="16" t="s">
        <v>152</v>
      </c>
      <c r="K111" s="19">
        <v>98</v>
      </c>
      <c r="L111" s="19" t="str" cm="1">
        <f t="array" ref="L111">_xlfn.IFS(AND(M111="Brahmaputra"), "Himalaya",   AND(C111&lt;95,D111&gt;32.5), "Central Tibet",   AND(C111&gt;95,D111&gt;36), "Northeast Tibet",   AND(M111="Mekong"), "Yunnan",   AND(M111="Yangtze",C111&gt;95,D111&lt;36), "Yunnan")</f>
        <v>Himalaya</v>
      </c>
      <c r="M111" s="26" t="s">
        <v>378</v>
      </c>
      <c r="N111" s="23">
        <v>3911</v>
      </c>
      <c r="O111" s="3" t="s">
        <v>167</v>
      </c>
      <c r="P111" s="21"/>
      <c r="Q111" s="13"/>
      <c r="R111" s="13"/>
      <c r="T111" s="3"/>
      <c r="U111" s="18"/>
    </row>
    <row r="112" spans="2:21">
      <c r="B112" s="21" t="s">
        <v>83</v>
      </c>
      <c r="C112" s="22">
        <v>97.072699999999998</v>
      </c>
      <c r="D112" s="22">
        <v>29.332599999999999</v>
      </c>
      <c r="E112" s="16">
        <v>-237.1</v>
      </c>
      <c r="F112" s="16">
        <v>-238.7</v>
      </c>
      <c r="G112" s="16">
        <v>-223</v>
      </c>
      <c r="H112" s="16">
        <v>2.0003322232020495</v>
      </c>
      <c r="I112" s="17">
        <f t="shared" si="1"/>
        <v>2.4746682071387207</v>
      </c>
      <c r="J112" s="16" t="s">
        <v>152</v>
      </c>
      <c r="K112" s="19">
        <v>99</v>
      </c>
      <c r="L112" s="19" t="str" cm="1">
        <f t="array" ref="L112">_xlfn.IFS(AND(M112="Brahmaputra"), "Himalaya",   AND(C112&lt;95,D112&gt;32.5), "Central Tibet",   AND(C112&gt;95,D112&gt;36), "Northeast Tibet",   AND(M112="Mekong"), "Yunnan",   AND(M112="Yangtze",C112&gt;95,D112&lt;36), "Yunnan")</f>
        <v>Himalaya</v>
      </c>
      <c r="M112" s="26" t="s">
        <v>378</v>
      </c>
      <c r="N112" s="23">
        <v>4200</v>
      </c>
      <c r="O112" s="3" t="s">
        <v>168</v>
      </c>
      <c r="P112" s="21"/>
      <c r="Q112" s="13"/>
      <c r="R112" s="13"/>
      <c r="T112" s="3"/>
      <c r="U112" s="18"/>
    </row>
    <row r="113" spans="2:21">
      <c r="B113" s="21" t="s">
        <v>84</v>
      </c>
      <c r="C113" s="22">
        <v>97.060400000000001</v>
      </c>
      <c r="D113" s="22">
        <v>29.335100000000001</v>
      </c>
      <c r="E113" s="16">
        <v>-231.4</v>
      </c>
      <c r="F113" s="16">
        <v>-223.4</v>
      </c>
      <c r="G113" s="16">
        <v>-221.3</v>
      </c>
      <c r="H113" s="16">
        <v>2.0003322232020495</v>
      </c>
      <c r="I113" s="17">
        <f t="shared" si="1"/>
        <v>2.4746682071387207</v>
      </c>
      <c r="J113" s="16" t="s">
        <v>152</v>
      </c>
      <c r="K113" s="19">
        <v>100</v>
      </c>
      <c r="L113" s="19" t="str" cm="1">
        <f t="array" ref="L113">_xlfn.IFS(AND(M113="Brahmaputra"), "Himalaya",   AND(C113&lt;95,D113&gt;32.5), "Central Tibet",   AND(C113&gt;95,D113&gt;36), "Northeast Tibet",   AND(M113="Mekong"), "Yunnan",   AND(M113="Yangtze",C113&gt;95,D113&lt;36), "Yunnan")</f>
        <v>Himalaya</v>
      </c>
      <c r="M113" s="26" t="s">
        <v>378</v>
      </c>
      <c r="N113" s="23">
        <v>4333</v>
      </c>
      <c r="O113" s="3" t="s">
        <v>169</v>
      </c>
      <c r="P113" s="21"/>
      <c r="Q113" s="13"/>
      <c r="R113" s="13"/>
      <c r="T113" s="3"/>
      <c r="U113" s="18"/>
    </row>
    <row r="114" spans="2:21">
      <c r="B114" s="21" t="s">
        <v>85</v>
      </c>
      <c r="C114" s="22">
        <v>97.055000000000007</v>
      </c>
      <c r="D114" s="22">
        <v>29.329599999999999</v>
      </c>
      <c r="E114" s="16">
        <v>-221.2</v>
      </c>
      <c r="F114" s="16">
        <v>-228.6</v>
      </c>
      <c r="G114" s="16">
        <v>-228</v>
      </c>
      <c r="H114" s="16">
        <v>2.0003322232020495</v>
      </c>
      <c r="I114" s="17">
        <f t="shared" si="1"/>
        <v>2.4746682071387207</v>
      </c>
      <c r="J114" s="16" t="s">
        <v>152</v>
      </c>
      <c r="K114" s="19">
        <v>101</v>
      </c>
      <c r="L114" s="19" t="str" cm="1">
        <f t="array" ref="L114">_xlfn.IFS(AND(M114="Brahmaputra"), "Himalaya",   AND(C114&lt;95,D114&gt;32.5), "Central Tibet",   AND(C114&gt;95,D114&gt;36), "Northeast Tibet",   AND(M114="Mekong"), "Yunnan",   AND(M114="Yangtze",C114&gt;95,D114&lt;36), "Yunnan")</f>
        <v>Himalaya</v>
      </c>
      <c r="M114" s="26" t="s">
        <v>378</v>
      </c>
      <c r="N114" s="23">
        <v>4488</v>
      </c>
      <c r="O114" s="3" t="s">
        <v>170</v>
      </c>
      <c r="P114" s="21"/>
      <c r="Q114" s="13"/>
      <c r="R114" s="13"/>
      <c r="T114" s="3"/>
      <c r="U114" s="18"/>
    </row>
    <row r="115" spans="2:21">
      <c r="B115" s="21" t="s">
        <v>85</v>
      </c>
      <c r="C115" s="22">
        <v>97.055000000000007</v>
      </c>
      <c r="D115" s="22">
        <v>29.329599999999999</v>
      </c>
      <c r="E115" s="16">
        <v>-215</v>
      </c>
      <c r="F115" s="16">
        <v>-223.8</v>
      </c>
      <c r="G115" s="16">
        <v>-224.1</v>
      </c>
      <c r="H115" s="16">
        <v>2.0003322232020495</v>
      </c>
      <c r="I115" s="17">
        <f t="shared" si="1"/>
        <v>2.4746682071387207</v>
      </c>
      <c r="J115" s="16" t="s">
        <v>152</v>
      </c>
      <c r="K115" s="19">
        <v>102</v>
      </c>
      <c r="L115" s="19" t="str" cm="1">
        <f t="array" ref="L115">_xlfn.IFS(AND(M115="Brahmaputra"), "Himalaya",   AND(C115&lt;95,D115&gt;32.5), "Central Tibet",   AND(C115&gt;95,D115&gt;36), "Northeast Tibet",   AND(M115="Mekong"), "Yunnan",   AND(M115="Yangtze",C115&gt;95,D115&lt;36), "Yunnan")</f>
        <v>Himalaya</v>
      </c>
      <c r="M115" s="26" t="s">
        <v>378</v>
      </c>
      <c r="N115" s="23">
        <v>4488</v>
      </c>
      <c r="O115" s="3" t="s">
        <v>171</v>
      </c>
      <c r="P115" s="21"/>
      <c r="Q115" s="13"/>
      <c r="R115" s="13"/>
      <c r="T115" s="3"/>
      <c r="U115" s="18"/>
    </row>
    <row r="116" spans="2:21">
      <c r="B116" s="21" t="s">
        <v>86</v>
      </c>
      <c r="C116" s="22">
        <v>97.039900000000003</v>
      </c>
      <c r="D116" s="22">
        <v>29.325500000000002</v>
      </c>
      <c r="E116" s="16">
        <v>-263.8</v>
      </c>
      <c r="F116" s="16">
        <v>-262.60000000000002</v>
      </c>
      <c r="G116" s="16">
        <v>-266.5</v>
      </c>
      <c r="H116" s="16">
        <v>2.0003322232020495</v>
      </c>
      <c r="I116" s="17">
        <f t="shared" si="1"/>
        <v>2.4746682071387207</v>
      </c>
      <c r="J116" s="16" t="s">
        <v>152</v>
      </c>
      <c r="K116" s="19">
        <v>103</v>
      </c>
      <c r="L116" s="19" t="str" cm="1">
        <f t="array" ref="L116">_xlfn.IFS(AND(M116="Brahmaputra"), "Himalaya",   AND(C116&lt;95,D116&gt;32.5), "Central Tibet",   AND(C116&gt;95,D116&gt;36), "Northeast Tibet",   AND(M116="Mekong"), "Yunnan",   AND(M116="Yangtze",C116&gt;95,D116&lt;36), "Yunnan")</f>
        <v>Himalaya</v>
      </c>
      <c r="M116" s="26" t="s">
        <v>378</v>
      </c>
      <c r="N116" s="23">
        <v>4700</v>
      </c>
      <c r="O116" s="3" t="s">
        <v>172</v>
      </c>
      <c r="P116" s="21"/>
      <c r="Q116" s="13"/>
      <c r="R116" s="13"/>
      <c r="T116" s="3"/>
      <c r="U116" s="18"/>
    </row>
    <row r="117" spans="2:21">
      <c r="B117" s="21" t="s">
        <v>87</v>
      </c>
      <c r="C117" s="22">
        <v>97.030199999999994</v>
      </c>
      <c r="D117" s="22">
        <v>29.317599999999999</v>
      </c>
      <c r="E117" s="16">
        <v>-244.4</v>
      </c>
      <c r="F117" s="16">
        <v>-253.9</v>
      </c>
      <c r="G117" s="16">
        <v>-264.39999999999998</v>
      </c>
      <c r="H117" s="16">
        <v>2.0003322232020495</v>
      </c>
      <c r="I117" s="17">
        <f t="shared" si="1"/>
        <v>2.4746682071387207</v>
      </c>
      <c r="J117" s="16" t="s">
        <v>152</v>
      </c>
      <c r="K117" s="19">
        <v>104</v>
      </c>
      <c r="L117" s="19" t="str" cm="1">
        <f t="array" ref="L117">_xlfn.IFS(AND(M117="Brahmaputra"), "Himalaya",   AND(C117&lt;95,D117&gt;32.5), "Central Tibet",   AND(C117&gt;95,D117&gt;36), "Northeast Tibet",   AND(M117="Mekong"), "Yunnan",   AND(M117="Yangtze",C117&gt;95,D117&lt;36), "Yunnan")</f>
        <v>Himalaya</v>
      </c>
      <c r="M117" s="26" t="s">
        <v>378</v>
      </c>
      <c r="N117" s="23">
        <v>4803</v>
      </c>
      <c r="O117" s="3" t="s">
        <v>173</v>
      </c>
      <c r="P117" s="21"/>
      <c r="Q117" s="13"/>
      <c r="R117" s="13"/>
      <c r="T117" s="3"/>
      <c r="U117" s="18"/>
    </row>
    <row r="118" spans="2:21">
      <c r="B118" s="21" t="s">
        <v>88</v>
      </c>
      <c r="C118" s="22">
        <v>96.994799999999998</v>
      </c>
      <c r="D118" s="22">
        <v>29.314299999999999</v>
      </c>
      <c r="E118" s="16">
        <v>-236.7</v>
      </c>
      <c r="F118" s="16">
        <v>-241.7</v>
      </c>
      <c r="G118" s="16">
        <v>-247.5</v>
      </c>
      <c r="H118" s="16">
        <v>2.0003322232020495</v>
      </c>
      <c r="I118" s="17">
        <f t="shared" si="1"/>
        <v>2.4746682071387207</v>
      </c>
      <c r="J118" s="16" t="s">
        <v>152</v>
      </c>
      <c r="K118" s="19">
        <v>105</v>
      </c>
      <c r="L118" s="19" t="str" cm="1">
        <f t="array" ref="L118">_xlfn.IFS(AND(M118="Brahmaputra"), "Himalaya",   AND(C118&lt;95,D118&gt;32.5), "Central Tibet",   AND(C118&gt;95,D118&gt;36), "Northeast Tibet",   AND(M118="Mekong"), "Yunnan",   AND(M118="Yangtze",C118&gt;95,D118&lt;36), "Yunnan")</f>
        <v>Himalaya</v>
      </c>
      <c r="M118" s="26" t="s">
        <v>378</v>
      </c>
      <c r="N118" s="23">
        <v>4616</v>
      </c>
      <c r="O118" s="3" t="s">
        <v>174</v>
      </c>
      <c r="P118" s="21"/>
      <c r="Q118" s="13"/>
      <c r="R118" s="13"/>
      <c r="T118" s="3"/>
      <c r="U118" s="18"/>
    </row>
    <row r="119" spans="2:21">
      <c r="B119" s="21" t="s">
        <v>89</v>
      </c>
      <c r="C119" s="22">
        <v>96.925600000000003</v>
      </c>
      <c r="D119" s="22">
        <v>29.3415</v>
      </c>
      <c r="E119" s="16">
        <v>-214.5</v>
      </c>
      <c r="F119" s="16">
        <v>-215.8</v>
      </c>
      <c r="G119" s="16">
        <v>-230.7</v>
      </c>
      <c r="H119" s="16">
        <v>2.0003322232020495</v>
      </c>
      <c r="I119" s="17">
        <f t="shared" si="1"/>
        <v>2.4746682071387207</v>
      </c>
      <c r="J119" s="16" t="s">
        <v>152</v>
      </c>
      <c r="K119" s="19">
        <v>106</v>
      </c>
      <c r="L119" s="19" t="str" cm="1">
        <f t="array" ref="L119">_xlfn.IFS(AND(M119="Brahmaputra"), "Himalaya",   AND(C119&lt;95,D119&gt;32.5), "Central Tibet",   AND(C119&gt;95,D119&gt;36), "Northeast Tibet",   AND(M119="Mekong"), "Yunnan",   AND(M119="Yangtze",C119&gt;95,D119&lt;36), "Yunnan")</f>
        <v>Himalaya</v>
      </c>
      <c r="M119" s="26" t="s">
        <v>378</v>
      </c>
      <c r="N119" s="23">
        <v>4590</v>
      </c>
      <c r="O119" s="3" t="s">
        <v>175</v>
      </c>
      <c r="P119" s="21"/>
      <c r="Q119" s="13"/>
      <c r="R119" s="13"/>
      <c r="T119" s="3"/>
      <c r="U119" s="18"/>
    </row>
    <row r="120" spans="2:21">
      <c r="B120" s="21" t="s">
        <v>90</v>
      </c>
      <c r="C120" s="22">
        <v>96.851600000000005</v>
      </c>
      <c r="D120" s="22">
        <v>29.3902</v>
      </c>
      <c r="E120" s="16">
        <v>-240.5</v>
      </c>
      <c r="F120" s="16">
        <v>-241.7</v>
      </c>
      <c r="G120" s="16">
        <v>-250.9</v>
      </c>
      <c r="H120" s="16">
        <v>2.0003322232020495</v>
      </c>
      <c r="I120" s="17">
        <f t="shared" si="1"/>
        <v>2.4746682071387207</v>
      </c>
      <c r="J120" s="16" t="s">
        <v>152</v>
      </c>
      <c r="K120" s="19">
        <v>107</v>
      </c>
      <c r="L120" s="19" t="str" cm="1">
        <f t="array" ref="L120">_xlfn.IFS(AND(M120="Brahmaputra"), "Himalaya",   AND(C120&lt;95,D120&gt;32.5), "Central Tibet",   AND(C120&gt;95,D120&gt;36), "Northeast Tibet",   AND(M120="Mekong"), "Yunnan",   AND(M120="Yangtze",C120&gt;95,D120&lt;36), "Yunnan")</f>
        <v>Himalaya</v>
      </c>
      <c r="M120" s="26" t="s">
        <v>378</v>
      </c>
      <c r="N120" s="23">
        <v>4196</v>
      </c>
      <c r="O120" s="3" t="s">
        <v>176</v>
      </c>
      <c r="P120" s="21"/>
      <c r="Q120" s="13"/>
      <c r="R120" s="13"/>
      <c r="T120" s="3"/>
      <c r="U120" s="18"/>
    </row>
    <row r="121" spans="2:21">
      <c r="B121" s="21" t="s">
        <v>91</v>
      </c>
      <c r="C121" s="22">
        <v>96.730699999999999</v>
      </c>
      <c r="D121" s="22">
        <v>29.500499999999999</v>
      </c>
      <c r="E121" s="16">
        <v>-210.3</v>
      </c>
      <c r="F121" s="16">
        <v>-215.4</v>
      </c>
      <c r="G121" s="16">
        <v>-215.1</v>
      </c>
      <c r="H121" s="16">
        <v>2.0003322232020495</v>
      </c>
      <c r="I121" s="17">
        <f t="shared" si="1"/>
        <v>2.4746682071387207</v>
      </c>
      <c r="J121" s="16" t="s">
        <v>152</v>
      </c>
      <c r="K121" s="19">
        <v>108</v>
      </c>
      <c r="L121" s="19" t="str" cm="1">
        <f t="array" ref="L121">_xlfn.IFS(AND(M121="Brahmaputra"), "Himalaya",   AND(C121&lt;95,D121&gt;32.5), "Central Tibet",   AND(C121&gt;95,D121&gt;36), "Northeast Tibet",   AND(M121="Mekong"), "Yunnan",   AND(M121="Yangtze",C121&gt;95,D121&lt;36), "Yunnan")</f>
        <v>Himalaya</v>
      </c>
      <c r="M121" s="26" t="s">
        <v>378</v>
      </c>
      <c r="N121" s="23">
        <v>3921</v>
      </c>
      <c r="O121" s="3" t="s">
        <v>177</v>
      </c>
      <c r="P121" s="21"/>
      <c r="Q121" s="13"/>
      <c r="R121" s="13"/>
      <c r="T121" s="3"/>
      <c r="U121" s="18"/>
    </row>
    <row r="122" spans="2:21">
      <c r="B122" s="21" t="s">
        <v>92</v>
      </c>
      <c r="C122" s="22">
        <v>96.652299999999997</v>
      </c>
      <c r="D122" s="22">
        <v>29.479700000000001</v>
      </c>
      <c r="E122" s="16">
        <v>-204.6</v>
      </c>
      <c r="F122" s="16">
        <v>-204.2</v>
      </c>
      <c r="G122" s="16">
        <v>-202.9</v>
      </c>
      <c r="H122" s="16">
        <v>2.0003322232020495</v>
      </c>
      <c r="I122" s="17">
        <f t="shared" si="1"/>
        <v>2.4746682071387207</v>
      </c>
      <c r="J122" s="16" t="s">
        <v>152</v>
      </c>
      <c r="K122" s="19">
        <v>109</v>
      </c>
      <c r="L122" s="19" t="str" cm="1">
        <f t="array" ref="L122">_xlfn.IFS(AND(M122="Brahmaputra"), "Himalaya",   AND(C122&lt;95,D122&gt;32.5), "Central Tibet",   AND(C122&gt;95,D122&gt;36), "Northeast Tibet",   AND(M122="Mekong"), "Yunnan",   AND(M122="Yangtze",C122&gt;95,D122&lt;36), "Yunnan")</f>
        <v>Himalaya</v>
      </c>
      <c r="M122" s="26" t="s">
        <v>378</v>
      </c>
      <c r="N122" s="23">
        <v>3922</v>
      </c>
      <c r="O122" s="3" t="s">
        <v>178</v>
      </c>
      <c r="P122" s="21"/>
      <c r="Q122" s="13"/>
      <c r="R122" s="13"/>
      <c r="T122" s="3"/>
      <c r="U122" s="18"/>
    </row>
    <row r="123" spans="2:21">
      <c r="B123" s="21" t="s">
        <v>93</v>
      </c>
      <c r="C123" s="22">
        <v>96.522999999999996</v>
      </c>
      <c r="D123" s="22">
        <v>29.534300000000002</v>
      </c>
      <c r="E123" s="16">
        <v>-176.8</v>
      </c>
      <c r="F123" s="16">
        <v>-197</v>
      </c>
      <c r="G123" s="16">
        <v>-198.3</v>
      </c>
      <c r="H123" s="16">
        <v>2.0003322232020495</v>
      </c>
      <c r="I123" s="17">
        <f t="shared" si="1"/>
        <v>2.4746682071387207</v>
      </c>
      <c r="J123" s="16" t="s">
        <v>152</v>
      </c>
      <c r="K123" s="19">
        <v>110</v>
      </c>
      <c r="L123" s="19" t="str" cm="1">
        <f t="array" ref="L123">_xlfn.IFS(AND(M123="Brahmaputra"), "Himalaya",   AND(C123&lt;95,D123&gt;32.5), "Central Tibet",   AND(C123&gt;95,D123&gt;36), "Northeast Tibet",   AND(M123="Mekong"), "Yunnan",   AND(M123="Yangtze",C123&gt;95,D123&lt;36), "Yunnan")</f>
        <v>Himalaya</v>
      </c>
      <c r="M123" s="26" t="s">
        <v>378</v>
      </c>
      <c r="N123" s="23">
        <v>3682</v>
      </c>
      <c r="O123" s="3" t="s">
        <v>179</v>
      </c>
      <c r="P123" s="21"/>
      <c r="Q123" s="13"/>
      <c r="R123" s="13"/>
      <c r="T123" s="3"/>
      <c r="U123" s="18"/>
    </row>
    <row r="124" spans="2:21">
      <c r="B124" s="21" t="s">
        <v>94</v>
      </c>
      <c r="C124" s="22">
        <v>96.5</v>
      </c>
      <c r="D124" s="22">
        <v>29.536300000000001</v>
      </c>
      <c r="E124" s="16">
        <v>-186</v>
      </c>
      <c r="F124" s="16">
        <v>-200.8</v>
      </c>
      <c r="G124" s="16">
        <v>-209.6</v>
      </c>
      <c r="H124" s="16">
        <v>2.0003322232020495</v>
      </c>
      <c r="I124" s="17">
        <f t="shared" si="1"/>
        <v>2.4746682071387207</v>
      </c>
      <c r="J124" s="16" t="s">
        <v>152</v>
      </c>
      <c r="K124" s="19">
        <v>111</v>
      </c>
      <c r="L124" s="19" t="str" cm="1">
        <f t="array" ref="L124">_xlfn.IFS(AND(M124="Brahmaputra"), "Himalaya",   AND(C124&lt;95,D124&gt;32.5), "Central Tibet",   AND(C124&gt;95,D124&gt;36), "Northeast Tibet",   AND(M124="Mekong"), "Yunnan",   AND(M124="Yangtze",C124&gt;95,D124&lt;36), "Yunnan")</f>
        <v>Himalaya</v>
      </c>
      <c r="M124" s="26" t="s">
        <v>378</v>
      </c>
      <c r="N124" s="23">
        <v>3596</v>
      </c>
      <c r="O124" s="3" t="s">
        <v>180</v>
      </c>
      <c r="P124" s="21"/>
      <c r="Q124" s="13"/>
      <c r="R124" s="13"/>
      <c r="T124" s="3"/>
      <c r="U124" s="18"/>
    </row>
    <row r="125" spans="2:21">
      <c r="B125" s="21" t="s">
        <v>94</v>
      </c>
      <c r="C125" s="22">
        <v>96.5</v>
      </c>
      <c r="D125" s="22">
        <v>29.536300000000001</v>
      </c>
      <c r="E125" s="16">
        <v>-187</v>
      </c>
      <c r="F125" s="16">
        <v>-201.6</v>
      </c>
      <c r="G125" s="16">
        <v>-211.8</v>
      </c>
      <c r="H125" s="16">
        <v>2.0003322232020495</v>
      </c>
      <c r="I125" s="17">
        <f t="shared" si="1"/>
        <v>2.4746682071387207</v>
      </c>
      <c r="J125" s="16" t="s">
        <v>152</v>
      </c>
      <c r="K125" s="19">
        <v>112</v>
      </c>
      <c r="L125" s="19" t="str" cm="1">
        <f t="array" ref="L125">_xlfn.IFS(AND(M125="Brahmaputra"), "Himalaya",   AND(C125&lt;95,D125&gt;32.5), "Central Tibet",   AND(C125&gt;95,D125&gt;36), "Northeast Tibet",   AND(M125="Mekong"), "Yunnan",   AND(M125="Yangtze",C125&gt;95,D125&lt;36), "Yunnan")</f>
        <v>Himalaya</v>
      </c>
      <c r="M125" s="26" t="s">
        <v>378</v>
      </c>
      <c r="N125" s="23">
        <v>3596</v>
      </c>
      <c r="O125" s="3" t="s">
        <v>181</v>
      </c>
      <c r="P125" s="21"/>
      <c r="Q125" s="13"/>
      <c r="R125" s="13"/>
      <c r="T125" s="3"/>
      <c r="U125" s="18"/>
    </row>
    <row r="126" spans="2:21">
      <c r="B126" s="21" t="s">
        <v>95</v>
      </c>
      <c r="C126" s="22">
        <v>96.390299999999996</v>
      </c>
      <c r="D126" s="22">
        <v>29.6035</v>
      </c>
      <c r="E126" s="16">
        <v>-191.5</v>
      </c>
      <c r="F126" s="16">
        <v>-200.2</v>
      </c>
      <c r="G126" s="16">
        <v>-202.1</v>
      </c>
      <c r="H126" s="16">
        <v>2.0003322232020495</v>
      </c>
      <c r="I126" s="17">
        <f t="shared" si="1"/>
        <v>2.4746682071387207</v>
      </c>
      <c r="J126" s="16" t="s">
        <v>152</v>
      </c>
      <c r="K126" s="19">
        <v>113</v>
      </c>
      <c r="L126" s="19" t="str" cm="1">
        <f t="array" ref="L126">_xlfn.IFS(AND(M126="Brahmaputra"), "Himalaya",   AND(C126&lt;95,D126&gt;32.5), "Central Tibet",   AND(C126&gt;95,D126&gt;36), "Northeast Tibet",   AND(M126="Mekong"), "Yunnan",   AND(M126="Yangtze",C126&gt;95,D126&lt;36), "Yunnan")</f>
        <v>Himalaya</v>
      </c>
      <c r="M126" s="26" t="s">
        <v>378</v>
      </c>
      <c r="N126" s="23">
        <v>3395</v>
      </c>
      <c r="O126" s="3" t="s">
        <v>182</v>
      </c>
      <c r="P126" s="21"/>
      <c r="Q126" s="13"/>
      <c r="R126" s="13"/>
      <c r="T126" s="3"/>
      <c r="U126" s="18"/>
    </row>
    <row r="127" spans="2:21">
      <c r="B127" s="21" t="s">
        <v>96</v>
      </c>
      <c r="C127" s="22">
        <v>96.275300000000001</v>
      </c>
      <c r="D127" s="22">
        <v>29.627500000000001</v>
      </c>
      <c r="E127" s="16">
        <v>-187</v>
      </c>
      <c r="F127" s="16">
        <v>-181</v>
      </c>
      <c r="G127" s="16">
        <v>-184</v>
      </c>
      <c r="H127" s="16">
        <v>2.0003322232020495</v>
      </c>
      <c r="I127" s="17">
        <f t="shared" si="1"/>
        <v>2.4746682071387207</v>
      </c>
      <c r="J127" s="16" t="s">
        <v>152</v>
      </c>
      <c r="K127" s="19">
        <v>114</v>
      </c>
      <c r="L127" s="19" t="str" cm="1">
        <f t="array" ref="L127">_xlfn.IFS(AND(M127="Brahmaputra"), "Himalaya",   AND(C127&lt;95,D127&gt;32.5), "Central Tibet",   AND(C127&gt;95,D127&gt;36), "Northeast Tibet",   AND(M127="Mekong"), "Yunnan",   AND(M127="Yangtze",C127&gt;95,D127&lt;36), "Yunnan")</f>
        <v>Himalaya</v>
      </c>
      <c r="M127" s="26" t="s">
        <v>378</v>
      </c>
      <c r="N127" s="23">
        <v>3231</v>
      </c>
      <c r="O127" s="3" t="s">
        <v>183</v>
      </c>
      <c r="P127" s="21"/>
      <c r="Q127" s="13"/>
      <c r="R127" s="13"/>
      <c r="T127" s="3"/>
      <c r="U127" s="18"/>
    </row>
    <row r="128" spans="2:21">
      <c r="B128" s="21" t="s">
        <v>97</v>
      </c>
      <c r="C128" s="22">
        <v>96.132300000000001</v>
      </c>
      <c r="D128" s="22">
        <v>29.7224</v>
      </c>
      <c r="E128" s="16">
        <v>-172.8</v>
      </c>
      <c r="F128" s="16">
        <v>-204.5</v>
      </c>
      <c r="G128" s="16">
        <v>-184.4</v>
      </c>
      <c r="H128" s="16">
        <v>2.0003322232020495</v>
      </c>
      <c r="I128" s="17">
        <f t="shared" si="1"/>
        <v>2.4746682071387207</v>
      </c>
      <c r="J128" s="16" t="s">
        <v>152</v>
      </c>
      <c r="K128" s="19">
        <v>115</v>
      </c>
      <c r="L128" s="19" t="str" cm="1">
        <f t="array" ref="L128">_xlfn.IFS(AND(M128="Brahmaputra"), "Himalaya",   AND(C128&lt;95,D128&gt;32.5), "Central Tibet",   AND(C128&gt;95,D128&gt;36), "Northeast Tibet",   AND(M128="Mekong"), "Yunnan",   AND(M128="Yangtze",C128&gt;95,D128&lt;36), "Yunnan")</f>
        <v>Himalaya</v>
      </c>
      <c r="M128" s="26" t="s">
        <v>378</v>
      </c>
      <c r="N128" s="23">
        <v>3075</v>
      </c>
      <c r="O128" s="3" t="s">
        <v>184</v>
      </c>
      <c r="P128" s="21"/>
      <c r="Q128" s="13"/>
      <c r="R128" s="13"/>
      <c r="T128" s="3"/>
      <c r="U128" s="18"/>
    </row>
    <row r="129" spans="2:21">
      <c r="B129" s="21" t="s">
        <v>98</v>
      </c>
      <c r="C129" s="22">
        <v>95.824700000000007</v>
      </c>
      <c r="D129" s="22">
        <v>29.803999999999998</v>
      </c>
      <c r="E129" s="16">
        <v>-179</v>
      </c>
      <c r="F129" s="16">
        <v>-198.1</v>
      </c>
      <c r="G129" s="16">
        <v>-220.4</v>
      </c>
      <c r="H129" s="16">
        <v>2.0003322232020495</v>
      </c>
      <c r="I129" s="17">
        <f t="shared" si="1"/>
        <v>2.4746682071387207</v>
      </c>
      <c r="J129" s="16" t="s">
        <v>152</v>
      </c>
      <c r="K129" s="19">
        <v>116</v>
      </c>
      <c r="L129" s="19" t="str" cm="1">
        <f t="array" ref="L129">_xlfn.IFS(AND(M129="Brahmaputra"), "Himalaya",   AND(C129&lt;95,D129&gt;32.5), "Central Tibet",   AND(C129&gt;95,D129&gt;36), "Northeast Tibet",   AND(M129="Mekong"), "Yunnan",   AND(M129="Yangtze",C129&gt;95,D129&lt;36), "Yunnan")</f>
        <v>Himalaya</v>
      </c>
      <c r="M129" s="26" t="s">
        <v>378</v>
      </c>
      <c r="N129" s="23">
        <v>2816</v>
      </c>
      <c r="O129" s="3" t="s">
        <v>185</v>
      </c>
      <c r="P129" s="21"/>
      <c r="Q129" s="13"/>
      <c r="R129" s="13"/>
      <c r="T129" s="3"/>
      <c r="U129" s="18"/>
    </row>
    <row r="130" spans="2:21">
      <c r="B130" s="21" t="s">
        <v>99</v>
      </c>
      <c r="C130" s="22">
        <v>94.286900000000003</v>
      </c>
      <c r="D130" s="22">
        <v>29.736799999999999</v>
      </c>
      <c r="E130" s="16">
        <v>-192</v>
      </c>
      <c r="F130" s="16">
        <v>-212.3</v>
      </c>
      <c r="G130" s="16">
        <v>-223.3</v>
      </c>
      <c r="H130" s="16">
        <v>2.0003322232020495</v>
      </c>
      <c r="I130" s="17">
        <f t="shared" si="1"/>
        <v>2.4746682071387207</v>
      </c>
      <c r="J130" s="16" t="s">
        <v>152</v>
      </c>
      <c r="K130" s="19">
        <v>117</v>
      </c>
      <c r="L130" s="19" t="str" cm="1">
        <f t="array" ref="L130">_xlfn.IFS(AND(M130="Brahmaputra"), "Himalaya",   AND(C130&lt;95,D130&gt;32.5), "Central Tibet",   AND(C130&gt;95,D130&gt;36), "Northeast Tibet",   AND(M130="Mekong"), "Yunnan",   AND(M130="Yangtze",C130&gt;95,D130&lt;36), "Yunnan")</f>
        <v>Himalaya</v>
      </c>
      <c r="M130" s="26" t="s">
        <v>378</v>
      </c>
      <c r="N130" s="23">
        <v>3052</v>
      </c>
      <c r="O130" s="3" t="s">
        <v>186</v>
      </c>
      <c r="P130" s="21"/>
      <c r="Q130" s="13"/>
      <c r="R130" s="13"/>
      <c r="T130" s="3"/>
      <c r="U130" s="18"/>
    </row>
    <row r="131" spans="2:21">
      <c r="B131" s="21" t="s">
        <v>100</v>
      </c>
      <c r="C131" s="22">
        <v>93.763999999999996</v>
      </c>
      <c r="D131" s="22">
        <v>29.82</v>
      </c>
      <c r="E131" s="16">
        <v>-201.6</v>
      </c>
      <c r="F131" s="16">
        <v>-207.4</v>
      </c>
      <c r="G131" s="16">
        <v>-221.6</v>
      </c>
      <c r="H131" s="16">
        <v>2.0003322232020495</v>
      </c>
      <c r="I131" s="17">
        <f t="shared" si="1"/>
        <v>2.4746682071387207</v>
      </c>
      <c r="J131" s="16" t="s">
        <v>152</v>
      </c>
      <c r="K131" s="19">
        <v>118</v>
      </c>
      <c r="L131" s="19" t="str" cm="1">
        <f t="array" ref="L131">_xlfn.IFS(AND(M131="Brahmaputra"), "Himalaya",   AND(C131&lt;95,D131&gt;32.5), "Central Tibet",   AND(C131&gt;95,D131&gt;36), "Northeast Tibet",   AND(M131="Mekong"), "Yunnan",   AND(M131="Yangtze",C131&gt;95,D131&lt;36), "Yunnan")</f>
        <v>Himalaya</v>
      </c>
      <c r="M131" s="26" t="s">
        <v>378</v>
      </c>
      <c r="N131" s="23">
        <v>3190</v>
      </c>
      <c r="O131" s="3" t="s">
        <v>187</v>
      </c>
      <c r="P131" s="21"/>
      <c r="Q131" s="13"/>
      <c r="R131" s="13"/>
      <c r="T131" s="3"/>
      <c r="U131" s="18"/>
    </row>
    <row r="132" spans="2:21">
      <c r="B132" s="21" t="s">
        <v>101</v>
      </c>
      <c r="C132" s="22">
        <v>93.685100000000006</v>
      </c>
      <c r="D132" s="22">
        <v>29.850100000000001</v>
      </c>
      <c r="E132" s="16">
        <v>-216.8</v>
      </c>
      <c r="F132" s="16">
        <v>-217.8</v>
      </c>
      <c r="G132" s="16">
        <v>-226</v>
      </c>
      <c r="H132" s="16">
        <v>2.0003322232020495</v>
      </c>
      <c r="I132" s="17">
        <f t="shared" si="1"/>
        <v>2.4746682071387207</v>
      </c>
      <c r="J132" s="16" t="s">
        <v>152</v>
      </c>
      <c r="K132" s="19">
        <v>119</v>
      </c>
      <c r="L132" s="19" t="str" cm="1">
        <f t="array" ref="L132">_xlfn.IFS(AND(M132="Brahmaputra"), "Himalaya",   AND(C132&lt;95,D132&gt;32.5), "Central Tibet",   AND(C132&gt;95,D132&gt;36), "Northeast Tibet",   AND(M132="Mekong"), "Yunnan",   AND(M132="Yangtze",C132&gt;95,D132&lt;36), "Yunnan")</f>
        <v>Himalaya</v>
      </c>
      <c r="M132" s="26" t="s">
        <v>378</v>
      </c>
      <c r="N132" s="23">
        <v>3211</v>
      </c>
      <c r="O132" s="3" t="s">
        <v>188</v>
      </c>
      <c r="P132" s="21"/>
      <c r="Q132" s="13"/>
      <c r="R132" s="13"/>
      <c r="T132" s="3"/>
      <c r="U132" s="18"/>
    </row>
    <row r="133" spans="2:21">
      <c r="B133" s="21" t="s">
        <v>102</v>
      </c>
      <c r="C133" s="22">
        <v>93.361999999999995</v>
      </c>
      <c r="D133" s="22">
        <v>29.8949</v>
      </c>
      <c r="E133" s="16">
        <v>-194.9</v>
      </c>
      <c r="F133" s="16">
        <v>-206.1</v>
      </c>
      <c r="G133" s="16">
        <v>-216.7</v>
      </c>
      <c r="H133" s="16">
        <v>2.0003322232020495</v>
      </c>
      <c r="I133" s="17">
        <f t="shared" si="1"/>
        <v>2.4746682071387207</v>
      </c>
      <c r="J133" s="16" t="s">
        <v>152</v>
      </c>
      <c r="K133" s="19">
        <v>120</v>
      </c>
      <c r="L133" s="19" t="str" cm="1">
        <f t="array" ref="L133">_xlfn.IFS(AND(M133="Brahmaputra"), "Himalaya",   AND(C133&lt;95,D133&gt;32.5), "Central Tibet",   AND(C133&gt;95,D133&gt;36), "Northeast Tibet",   AND(M133="Mekong"), "Yunnan",   AND(M133="Yangtze",C133&gt;95,D133&lt;36), "Yunnan")</f>
        <v>Himalaya</v>
      </c>
      <c r="M133" s="26" t="s">
        <v>378</v>
      </c>
      <c r="N133" s="23">
        <v>3371</v>
      </c>
      <c r="O133" s="3" t="s">
        <v>189</v>
      </c>
      <c r="P133" s="21"/>
      <c r="Q133" s="13"/>
      <c r="R133" s="13"/>
      <c r="T133" s="3"/>
      <c r="U133" s="18"/>
    </row>
    <row r="134" spans="2:21">
      <c r="B134" s="21" t="s">
        <v>103</v>
      </c>
      <c r="C134" s="22">
        <v>93.188000000000002</v>
      </c>
      <c r="D134" s="22">
        <v>29.902200000000001</v>
      </c>
      <c r="E134" s="16">
        <v>-190.4</v>
      </c>
      <c r="F134" s="16">
        <v>-196.5</v>
      </c>
      <c r="G134" s="16">
        <v>-216.2</v>
      </c>
      <c r="H134" s="16">
        <v>2.0003322232020495</v>
      </c>
      <c r="I134" s="17">
        <f t="shared" si="1"/>
        <v>2.4746682071387207</v>
      </c>
      <c r="J134" s="16" t="s">
        <v>152</v>
      </c>
      <c r="K134" s="19">
        <v>121</v>
      </c>
      <c r="L134" s="19" t="str" cm="1">
        <f t="array" ref="L134">_xlfn.IFS(AND(M134="Brahmaputra"), "Himalaya",   AND(C134&lt;95,D134&gt;32.5), "Central Tibet",   AND(C134&gt;95,D134&gt;36), "Northeast Tibet",   AND(M134="Mekong"), "Yunnan",   AND(M134="Yangtze",C134&gt;95,D134&lt;36), "Yunnan")</f>
        <v>Himalaya</v>
      </c>
      <c r="M134" s="26" t="s">
        <v>378</v>
      </c>
      <c r="N134" s="23">
        <v>3439</v>
      </c>
      <c r="O134" s="3" t="s">
        <v>190</v>
      </c>
      <c r="P134" s="21"/>
      <c r="Q134" s="13"/>
      <c r="R134" s="13"/>
      <c r="T134" s="3"/>
      <c r="U134" s="18"/>
    </row>
    <row r="135" spans="2:21">
      <c r="B135" s="21" t="s">
        <v>104</v>
      </c>
      <c r="C135" s="22">
        <v>92.928600000000003</v>
      </c>
      <c r="D135" s="22">
        <v>30.033000000000001</v>
      </c>
      <c r="E135" s="16">
        <v>-217.3</v>
      </c>
      <c r="F135" s="16">
        <v>-223.3</v>
      </c>
      <c r="G135" s="16">
        <v>-234</v>
      </c>
      <c r="H135" s="16">
        <v>2.0003322232020495</v>
      </c>
      <c r="I135" s="17">
        <f t="shared" si="1"/>
        <v>2.4746682071387207</v>
      </c>
      <c r="J135" s="16" t="s">
        <v>152</v>
      </c>
      <c r="K135" s="19">
        <v>122</v>
      </c>
      <c r="L135" s="19" t="str" cm="1">
        <f t="array" ref="L135">_xlfn.IFS(AND(M135="Brahmaputra"), "Himalaya",   AND(C135&lt;95,D135&gt;32.5), "Central Tibet",   AND(C135&gt;95,D135&gt;36), "Northeast Tibet",   AND(M135="Mekong"), "Yunnan",   AND(M135="Yangtze",C135&gt;95,D135&lt;36), "Yunnan")</f>
        <v>Himalaya</v>
      </c>
      <c r="M135" s="26" t="s">
        <v>378</v>
      </c>
      <c r="N135" s="23">
        <v>3644</v>
      </c>
      <c r="O135" s="3" t="s">
        <v>191</v>
      </c>
      <c r="P135" s="21"/>
      <c r="Q135" s="13"/>
      <c r="R135" s="13"/>
      <c r="T135" s="3"/>
      <c r="U135" s="18"/>
    </row>
    <row r="136" spans="2:21">
      <c r="B136" s="21" t="s">
        <v>105</v>
      </c>
      <c r="C136" s="22">
        <v>92.750100000000003</v>
      </c>
      <c r="D136" s="22">
        <v>29.904399999999999</v>
      </c>
      <c r="E136" s="16">
        <v>-213.5</v>
      </c>
      <c r="F136" s="16">
        <v>-222.2</v>
      </c>
      <c r="G136" s="16">
        <v>-219.1</v>
      </c>
      <c r="H136" s="16">
        <v>2.0003322232020495</v>
      </c>
      <c r="I136" s="17">
        <f t="shared" si="1"/>
        <v>2.4746682071387207</v>
      </c>
      <c r="J136" s="16" t="s">
        <v>152</v>
      </c>
      <c r="K136" s="19">
        <v>123</v>
      </c>
      <c r="L136" s="19" t="str" cm="1">
        <f t="array" ref="L136">_xlfn.IFS(AND(M136="Brahmaputra"), "Himalaya",   AND(C136&lt;95,D136&gt;32.5), "Central Tibet",   AND(C136&gt;95,D136&gt;36), "Northeast Tibet",   AND(M136="Mekong"), "Yunnan",   AND(M136="Yangtze",C136&gt;95,D136&lt;36), "Yunnan")</f>
        <v>Himalaya</v>
      </c>
      <c r="M136" s="26" t="s">
        <v>378</v>
      </c>
      <c r="N136" s="23">
        <v>3883</v>
      </c>
      <c r="O136" s="3" t="s">
        <v>192</v>
      </c>
      <c r="P136" s="21"/>
      <c r="Q136" s="13"/>
      <c r="R136" s="13"/>
      <c r="T136" s="3"/>
      <c r="U136" s="18"/>
    </row>
    <row r="137" spans="2:21">
      <c r="B137" s="21" t="s">
        <v>106</v>
      </c>
      <c r="C137" s="22">
        <v>92.639700000000005</v>
      </c>
      <c r="D137" s="22">
        <v>29.870999999999999</v>
      </c>
      <c r="E137" s="16">
        <v>-211.4</v>
      </c>
      <c r="F137" s="16">
        <v>-224.8</v>
      </c>
      <c r="G137" s="16">
        <v>-225.3</v>
      </c>
      <c r="H137" s="16">
        <v>2.0003322232020495</v>
      </c>
      <c r="I137" s="17">
        <f t="shared" si="1"/>
        <v>2.4746682071387207</v>
      </c>
      <c r="J137" s="16" t="s">
        <v>152</v>
      </c>
      <c r="K137" s="19">
        <v>124</v>
      </c>
      <c r="L137" s="19" t="str" cm="1">
        <f t="array" ref="L137">_xlfn.IFS(AND(M137="Brahmaputra"), "Himalaya",   AND(C137&lt;95,D137&gt;32.5), "Central Tibet",   AND(C137&gt;95,D137&gt;36), "Northeast Tibet",   AND(M137="Mekong"), "Yunnan",   AND(M137="Yangtze",C137&gt;95,D137&lt;36), "Yunnan")</f>
        <v>Himalaya</v>
      </c>
      <c r="M137" s="26" t="s">
        <v>378</v>
      </c>
      <c r="N137" s="23">
        <v>4028</v>
      </c>
      <c r="O137" s="3" t="s">
        <v>193</v>
      </c>
      <c r="P137" s="21"/>
      <c r="Q137" s="13"/>
      <c r="R137" s="13"/>
      <c r="T137" s="3"/>
      <c r="U137" s="18"/>
    </row>
    <row r="138" spans="2:21">
      <c r="B138" s="21" t="s">
        <v>107</v>
      </c>
      <c r="C138" s="22">
        <v>92.532200000000003</v>
      </c>
      <c r="D138" s="22">
        <v>29.8734</v>
      </c>
      <c r="E138" s="16">
        <v>-199.8</v>
      </c>
      <c r="F138" s="16">
        <v>-223.5</v>
      </c>
      <c r="G138" s="16">
        <v>-221.6</v>
      </c>
      <c r="H138" s="16">
        <v>2.0003322232020495</v>
      </c>
      <c r="I138" s="17">
        <f t="shared" si="1"/>
        <v>2.4746682071387207</v>
      </c>
      <c r="J138" s="16" t="s">
        <v>152</v>
      </c>
      <c r="K138" s="19">
        <v>125</v>
      </c>
      <c r="L138" s="19" t="str" cm="1">
        <f t="array" ref="L138">_xlfn.IFS(AND(M138="Brahmaputra"), "Himalaya",   AND(C138&lt;95,D138&gt;32.5), "Central Tibet",   AND(C138&gt;95,D138&gt;36), "Northeast Tibet",   AND(M138="Mekong"), "Yunnan",   AND(M138="Yangtze",C138&gt;95,D138&lt;36), "Yunnan")</f>
        <v>Himalaya</v>
      </c>
      <c r="M138" s="26" t="s">
        <v>378</v>
      </c>
      <c r="N138" s="23">
        <v>4186</v>
      </c>
      <c r="O138" s="3" t="s">
        <v>194</v>
      </c>
      <c r="P138" s="21"/>
      <c r="Q138" s="13"/>
      <c r="R138" s="13"/>
      <c r="T138" s="3"/>
      <c r="U138" s="18"/>
    </row>
    <row r="139" spans="2:21">
      <c r="B139" s="21" t="s">
        <v>107</v>
      </c>
      <c r="C139" s="22">
        <v>92.532200000000003</v>
      </c>
      <c r="D139" s="22">
        <v>29.8734</v>
      </c>
      <c r="E139" s="16">
        <v>-197.7</v>
      </c>
      <c r="F139" s="16">
        <v>-220.1</v>
      </c>
      <c r="G139" s="16">
        <v>-218.9</v>
      </c>
      <c r="H139" s="16">
        <v>2.0003322232020495</v>
      </c>
      <c r="I139" s="17">
        <f t="shared" si="1"/>
        <v>2.4746682071387207</v>
      </c>
      <c r="J139" s="16" t="s">
        <v>152</v>
      </c>
      <c r="K139" s="19">
        <v>126</v>
      </c>
      <c r="L139" s="19" t="str" cm="1">
        <f t="array" ref="L139">_xlfn.IFS(AND(M139="Brahmaputra"), "Himalaya",   AND(C139&lt;95,D139&gt;32.5), "Central Tibet",   AND(C139&gt;95,D139&gt;36), "Northeast Tibet",   AND(M139="Mekong"), "Yunnan",   AND(M139="Yangtze",C139&gt;95,D139&lt;36), "Yunnan")</f>
        <v>Himalaya</v>
      </c>
      <c r="M139" s="26" t="s">
        <v>378</v>
      </c>
      <c r="N139" s="23"/>
      <c r="O139" s="3" t="s">
        <v>195</v>
      </c>
      <c r="P139" s="21"/>
      <c r="Q139" s="13"/>
      <c r="R139" s="13"/>
      <c r="T139" s="3"/>
      <c r="U139" s="18"/>
    </row>
    <row r="140" spans="2:21">
      <c r="B140" s="21" t="s">
        <v>108</v>
      </c>
      <c r="C140" s="22">
        <v>92.364000000000004</v>
      </c>
      <c r="D140" s="22">
        <v>29.912800000000001</v>
      </c>
      <c r="E140" s="16">
        <v>-234.2</v>
      </c>
      <c r="F140" s="16">
        <v>-231.7</v>
      </c>
      <c r="G140" s="16">
        <v>-258.39999999999998</v>
      </c>
      <c r="H140" s="16">
        <v>2.0003322232020495</v>
      </c>
      <c r="I140" s="17">
        <f t="shared" si="1"/>
        <v>2.4746682071387207</v>
      </c>
      <c r="J140" s="16" t="s">
        <v>152</v>
      </c>
      <c r="K140" s="19">
        <v>127</v>
      </c>
      <c r="L140" s="19" t="str" cm="1">
        <f t="array" ref="L140">_xlfn.IFS(AND(M140="Brahmaputra"), "Himalaya",   AND(C140&lt;95,D140&gt;32.5), "Central Tibet",   AND(C140&gt;95,D140&gt;36), "Northeast Tibet",   AND(M140="Mekong"), "Yunnan",   AND(M140="Yangtze",C140&gt;95,D140&lt;36), "Yunnan")</f>
        <v>Himalaya</v>
      </c>
      <c r="M140" s="26" t="s">
        <v>378</v>
      </c>
      <c r="N140" s="23">
        <v>4437</v>
      </c>
      <c r="O140" s="3" t="s">
        <v>196</v>
      </c>
      <c r="P140" s="21"/>
      <c r="Q140" s="13"/>
      <c r="R140" s="13"/>
      <c r="T140" s="3"/>
      <c r="U140" s="18"/>
    </row>
    <row r="141" spans="2:21">
      <c r="B141" s="21" t="s">
        <v>109</v>
      </c>
      <c r="C141" s="22">
        <v>92.323700000000002</v>
      </c>
      <c r="D141" s="22">
        <v>29.837900000000001</v>
      </c>
      <c r="E141" s="16">
        <v>-230</v>
      </c>
      <c r="F141" s="16">
        <v>-244</v>
      </c>
      <c r="G141" s="16">
        <v>-247</v>
      </c>
      <c r="H141" s="16">
        <v>2.0003322232020495</v>
      </c>
      <c r="I141" s="17">
        <f t="shared" si="1"/>
        <v>2.4746682071387207</v>
      </c>
      <c r="J141" s="16" t="s">
        <v>152</v>
      </c>
      <c r="K141" s="19">
        <v>128</v>
      </c>
      <c r="L141" s="19" t="str" cm="1">
        <f t="array" ref="L141">_xlfn.IFS(AND(M141="Brahmaputra"), "Himalaya",   AND(C141&lt;95,D141&gt;32.5), "Central Tibet",   AND(C141&gt;95,D141&gt;36), "Northeast Tibet",   AND(M141="Mekong"), "Yunnan",   AND(M141="Yangtze",C141&gt;95,D141&lt;36), "Yunnan")</f>
        <v>Himalaya</v>
      </c>
      <c r="M141" s="26" t="s">
        <v>378</v>
      </c>
      <c r="N141" s="23">
        <v>4802</v>
      </c>
      <c r="O141" s="3" t="s">
        <v>197</v>
      </c>
      <c r="P141" s="21"/>
      <c r="Q141" s="13"/>
      <c r="R141" s="13"/>
      <c r="T141" s="3"/>
      <c r="U141" s="18"/>
    </row>
    <row r="142" spans="2:21">
      <c r="B142" s="21" t="s">
        <v>110</v>
      </c>
      <c r="C142" s="22">
        <v>92.343699999999998</v>
      </c>
      <c r="D142" s="22">
        <v>29.830500000000001</v>
      </c>
      <c r="E142" s="16">
        <v>-235.8</v>
      </c>
      <c r="F142" s="16">
        <v>-233.4</v>
      </c>
      <c r="G142" s="16">
        <v>-232.9</v>
      </c>
      <c r="H142" s="16">
        <v>2.0003322232020495</v>
      </c>
      <c r="I142" s="17">
        <f t="shared" si="1"/>
        <v>2.4746682071387207</v>
      </c>
      <c r="J142" s="16" t="s">
        <v>152</v>
      </c>
      <c r="K142" s="19">
        <v>129</v>
      </c>
      <c r="L142" s="19" t="str" cm="1">
        <f t="array" ref="L142">_xlfn.IFS(AND(M142="Brahmaputra"), "Himalaya",   AND(C142&lt;95,D142&gt;32.5), "Central Tibet",   AND(C142&gt;95,D142&gt;36), "Northeast Tibet",   AND(M142="Mekong"), "Yunnan",   AND(M142="Yangtze",C142&gt;95,D142&lt;36), "Yunnan")</f>
        <v>Himalaya</v>
      </c>
      <c r="M142" s="26" t="s">
        <v>378</v>
      </c>
      <c r="N142" s="23">
        <v>4968</v>
      </c>
      <c r="O142" s="3" t="s">
        <v>198</v>
      </c>
      <c r="P142" s="21"/>
      <c r="Q142" s="13"/>
      <c r="R142" s="13"/>
      <c r="T142" s="3"/>
      <c r="U142" s="18"/>
    </row>
    <row r="143" spans="2:21">
      <c r="B143" s="21" t="s">
        <v>111</v>
      </c>
      <c r="C143" s="22">
        <v>92.326899999999995</v>
      </c>
      <c r="D143" s="22">
        <v>29.774000000000001</v>
      </c>
      <c r="E143" s="16">
        <v>-238.8</v>
      </c>
      <c r="F143" s="16">
        <v>-233.3</v>
      </c>
      <c r="G143" s="16">
        <v>-237.4</v>
      </c>
      <c r="H143" s="16">
        <v>2.0003322232020495</v>
      </c>
      <c r="I143" s="17">
        <f t="shared" ref="I143:I206" si="2">3.5/SQRT(H143)</f>
        <v>2.4746682071387207</v>
      </c>
      <c r="J143" s="16" t="s">
        <v>152</v>
      </c>
      <c r="K143" s="19">
        <v>130</v>
      </c>
      <c r="L143" s="19" t="str" cm="1">
        <f t="array" ref="L143">_xlfn.IFS(AND(M143="Brahmaputra"), "Himalaya",   AND(C143&lt;95,D143&gt;32.5), "Central Tibet",   AND(C143&gt;95,D143&gt;36), "Northeast Tibet",   AND(M143="Mekong"), "Yunnan",   AND(M143="Yangtze",C143&gt;95,D143&lt;36), "Yunnan")</f>
        <v>Himalaya</v>
      </c>
      <c r="M143" s="26" t="s">
        <v>378</v>
      </c>
      <c r="N143" s="23">
        <v>4713</v>
      </c>
      <c r="O143" s="3" t="s">
        <v>199</v>
      </c>
      <c r="P143" s="21"/>
      <c r="Q143" s="13"/>
      <c r="R143" s="13"/>
      <c r="T143" s="3"/>
      <c r="U143" s="18"/>
    </row>
    <row r="144" spans="2:21">
      <c r="B144" s="21" t="s">
        <v>112</v>
      </c>
      <c r="C144" s="22">
        <v>92.2256</v>
      </c>
      <c r="D144" s="22">
        <v>29.6967</v>
      </c>
      <c r="E144" s="16">
        <v>-220.3</v>
      </c>
      <c r="F144" s="16">
        <v>-228</v>
      </c>
      <c r="G144" s="16">
        <v>-234.1</v>
      </c>
      <c r="H144" s="16">
        <v>2.0003322232020495</v>
      </c>
      <c r="I144" s="17">
        <f t="shared" si="2"/>
        <v>2.4746682071387207</v>
      </c>
      <c r="J144" s="16" t="s">
        <v>152</v>
      </c>
      <c r="K144" s="19">
        <v>131</v>
      </c>
      <c r="L144" s="19" t="str" cm="1">
        <f t="array" ref="L144">_xlfn.IFS(AND(M144="Brahmaputra"), "Himalaya",   AND(C144&lt;95,D144&gt;32.5), "Central Tibet",   AND(C144&gt;95,D144&gt;36), "Northeast Tibet",   AND(M144="Mekong"), "Yunnan",   AND(M144="Yangtze",C144&gt;95,D144&lt;36), "Yunnan")</f>
        <v>Himalaya</v>
      </c>
      <c r="M144" s="26" t="s">
        <v>378</v>
      </c>
      <c r="N144" s="23">
        <v>4348</v>
      </c>
      <c r="O144" s="3" t="s">
        <v>200</v>
      </c>
      <c r="P144" s="21"/>
      <c r="Q144" s="13"/>
      <c r="R144" s="13"/>
      <c r="T144" s="3"/>
      <c r="U144" s="18"/>
    </row>
    <row r="145" spans="2:21">
      <c r="B145" s="21" t="s">
        <v>113</v>
      </c>
      <c r="C145" s="22">
        <v>91.948800000000006</v>
      </c>
      <c r="D145" s="22">
        <v>29.748799999999999</v>
      </c>
      <c r="E145" s="16">
        <v>-223</v>
      </c>
      <c r="F145" s="16">
        <v>-230</v>
      </c>
      <c r="G145" s="16">
        <v>-239</v>
      </c>
      <c r="H145" s="16">
        <v>2.0003322232020495</v>
      </c>
      <c r="I145" s="17">
        <f t="shared" si="2"/>
        <v>2.4746682071387207</v>
      </c>
      <c r="J145" s="16" t="s">
        <v>152</v>
      </c>
      <c r="K145" s="19">
        <v>132</v>
      </c>
      <c r="L145" s="19" t="str" cm="1">
        <f t="array" ref="L145">_xlfn.IFS(AND(M145="Brahmaputra"), "Himalaya",   AND(C145&lt;95,D145&gt;32.5), "Central Tibet",   AND(C145&gt;95,D145&gt;36), "Northeast Tibet",   AND(M145="Mekong"), "Yunnan",   AND(M145="Yangtze",C145&gt;95,D145&lt;36), "Yunnan")</f>
        <v>Himalaya</v>
      </c>
      <c r="M145" s="26" t="s">
        <v>378</v>
      </c>
      <c r="N145" s="23">
        <v>3995</v>
      </c>
      <c r="O145" s="3" t="s">
        <v>201</v>
      </c>
      <c r="P145" s="21"/>
      <c r="Q145" s="13"/>
      <c r="R145" s="13"/>
      <c r="T145" s="3"/>
      <c r="U145" s="18"/>
    </row>
    <row r="146" spans="2:21">
      <c r="B146" s="21" t="s">
        <v>114</v>
      </c>
      <c r="C146" s="22">
        <v>90.623099999999994</v>
      </c>
      <c r="D146" s="22">
        <v>29.2667</v>
      </c>
      <c r="E146" s="16"/>
      <c r="F146" s="16">
        <v>-207</v>
      </c>
      <c r="G146" s="16">
        <v>-230</v>
      </c>
      <c r="H146" s="16">
        <v>2.0003322232020495</v>
      </c>
      <c r="I146" s="17">
        <f t="shared" si="2"/>
        <v>2.4746682071387207</v>
      </c>
      <c r="J146" s="16" t="s">
        <v>152</v>
      </c>
      <c r="K146" s="19">
        <v>133</v>
      </c>
      <c r="L146" s="19" t="str" cm="1">
        <f t="array" ref="L146">_xlfn.IFS(AND(M146="Brahmaputra"), "Himalaya",   AND(C146&lt;95,D146&gt;32.5), "Central Tibet",   AND(C146&gt;95,D146&gt;36), "Northeast Tibet",   AND(M146="Mekong"), "Yunnan",   AND(M146="Yangtze",C146&gt;95,D146&lt;36), "Yunnan")</f>
        <v>Himalaya</v>
      </c>
      <c r="M146" s="26" t="s">
        <v>378</v>
      </c>
      <c r="N146" s="23">
        <v>3609</v>
      </c>
      <c r="O146" s="3" t="s">
        <v>202</v>
      </c>
      <c r="P146" s="20" t="s">
        <v>146</v>
      </c>
      <c r="Q146" s="13"/>
      <c r="R146" s="13"/>
      <c r="S146" s="3"/>
      <c r="U146" s="3"/>
    </row>
    <row r="147" spans="2:21">
      <c r="B147" s="21" t="s">
        <v>115</v>
      </c>
      <c r="C147" s="22">
        <v>90.637200000000007</v>
      </c>
      <c r="D147" s="22">
        <v>29.228899999999999</v>
      </c>
      <c r="E147" s="16"/>
      <c r="F147" s="16">
        <v>-221</v>
      </c>
      <c r="G147" s="16">
        <v>-246</v>
      </c>
      <c r="H147" s="16">
        <v>2.0003322232020495</v>
      </c>
      <c r="I147" s="17">
        <f t="shared" si="2"/>
        <v>2.4746682071387207</v>
      </c>
      <c r="J147" s="16" t="s">
        <v>152</v>
      </c>
      <c r="K147" s="19">
        <v>134</v>
      </c>
      <c r="L147" s="19" t="str" cm="1">
        <f t="array" ref="L147">_xlfn.IFS(AND(M147="Brahmaputra"), "Himalaya",   AND(C147&lt;95,D147&gt;32.5), "Central Tibet",   AND(C147&gt;95,D147&gt;36), "Northeast Tibet",   AND(M147="Mekong"), "Yunnan",   AND(M147="Yangtze",C147&gt;95,D147&lt;36), "Yunnan")</f>
        <v>Himalaya</v>
      </c>
      <c r="M147" s="26" t="s">
        <v>378</v>
      </c>
      <c r="N147" s="23">
        <v>4006</v>
      </c>
      <c r="O147" s="3" t="s">
        <v>203</v>
      </c>
      <c r="P147" s="20" t="s">
        <v>146</v>
      </c>
      <c r="Q147" s="13"/>
      <c r="R147" s="13"/>
      <c r="S147" s="3"/>
      <c r="U147" s="3"/>
    </row>
    <row r="148" spans="2:21">
      <c r="B148" s="21" t="s">
        <v>116</v>
      </c>
      <c r="C148" s="22">
        <v>90.617800000000003</v>
      </c>
      <c r="D148" s="22">
        <v>29.207799999999999</v>
      </c>
      <c r="E148" s="16"/>
      <c r="F148" s="16">
        <v>-264</v>
      </c>
      <c r="G148" s="16">
        <v>-264</v>
      </c>
      <c r="H148" s="16">
        <v>2.0003322232020495</v>
      </c>
      <c r="I148" s="17">
        <f t="shared" si="2"/>
        <v>2.4746682071387207</v>
      </c>
      <c r="J148" s="16" t="s">
        <v>152</v>
      </c>
      <c r="K148" s="19">
        <v>135</v>
      </c>
      <c r="L148" s="19" t="str" cm="1">
        <f t="array" ref="L148">_xlfn.IFS(AND(M148="Brahmaputra"), "Himalaya",   AND(C148&lt;95,D148&gt;32.5), "Central Tibet",   AND(C148&gt;95,D148&gt;36), "Northeast Tibet",   AND(M148="Mekong"), "Yunnan",   AND(M148="Yangtze",C148&gt;95,D148&lt;36), "Yunnan")</f>
        <v>Himalaya</v>
      </c>
      <c r="M148" s="26" t="s">
        <v>378</v>
      </c>
      <c r="N148" s="23">
        <v>4780</v>
      </c>
      <c r="O148" s="3" t="s">
        <v>204</v>
      </c>
      <c r="P148" s="20" t="s">
        <v>147</v>
      </c>
      <c r="Q148" s="13"/>
      <c r="R148" s="13"/>
      <c r="S148" s="3"/>
      <c r="U148" s="3"/>
    </row>
    <row r="149" spans="2:21">
      <c r="B149" s="21" t="s">
        <v>117</v>
      </c>
      <c r="C149" s="22">
        <v>90.167199999999994</v>
      </c>
      <c r="D149" s="22">
        <v>28.8933</v>
      </c>
      <c r="E149" s="16"/>
      <c r="F149" s="16">
        <v>-249</v>
      </c>
      <c r="G149" s="16">
        <v>-246</v>
      </c>
      <c r="H149" s="16">
        <v>2.0003322232020495</v>
      </c>
      <c r="I149" s="17">
        <f t="shared" si="2"/>
        <v>2.4746682071387207</v>
      </c>
      <c r="J149" s="16" t="s">
        <v>152</v>
      </c>
      <c r="K149" s="19">
        <v>136</v>
      </c>
      <c r="L149" s="19" t="str" cm="1">
        <f t="array" ref="L149">_xlfn.IFS(AND(M149="Brahmaputra"), "Himalaya",   AND(C149&lt;95,D149&gt;32.5), "Central Tibet",   AND(C149&gt;95,D149&gt;36), "Northeast Tibet",   AND(M149="Mekong"), "Yunnan",   AND(M149="Yangtze",C149&gt;95,D149&lt;36), "Yunnan")</f>
        <v>Himalaya</v>
      </c>
      <c r="M149" s="26" t="s">
        <v>378</v>
      </c>
      <c r="N149" s="23">
        <v>5046</v>
      </c>
      <c r="O149" s="3" t="s">
        <v>205</v>
      </c>
      <c r="P149" s="20" t="s">
        <v>148</v>
      </c>
      <c r="Q149" s="13"/>
      <c r="R149" s="13"/>
      <c r="S149" s="3"/>
      <c r="U149" s="3"/>
    </row>
    <row r="150" spans="2:21">
      <c r="B150" s="21" t="s">
        <v>118</v>
      </c>
      <c r="C150" s="22">
        <v>88.594999999999999</v>
      </c>
      <c r="D150" s="22">
        <v>29.151700000000002</v>
      </c>
      <c r="E150" s="16"/>
      <c r="F150" s="16">
        <v>-211</v>
      </c>
      <c r="G150" s="16">
        <v>-238</v>
      </c>
      <c r="H150" s="16">
        <v>2.0003322232020495</v>
      </c>
      <c r="I150" s="17">
        <f t="shared" si="2"/>
        <v>2.4746682071387207</v>
      </c>
      <c r="J150" s="16" t="s">
        <v>152</v>
      </c>
      <c r="K150" s="19">
        <v>137</v>
      </c>
      <c r="L150" s="19" t="str" cm="1">
        <f t="array" ref="L150">_xlfn.IFS(AND(M150="Brahmaputra"), "Himalaya",   AND(C150&lt;95,D150&gt;32.5), "Central Tibet",   AND(C150&gt;95,D150&gt;36), "Northeast Tibet",   AND(M150="Mekong"), "Yunnan",   AND(M150="Yangtze",C150&gt;95,D150&lt;36), "Yunnan")</f>
        <v>Himalaya</v>
      </c>
      <c r="M150" s="26" t="s">
        <v>378</v>
      </c>
      <c r="N150" s="23">
        <v>4040</v>
      </c>
      <c r="O150" s="3" t="s">
        <v>206</v>
      </c>
      <c r="P150" s="20" t="s">
        <v>149</v>
      </c>
      <c r="Q150" s="13"/>
      <c r="R150" s="13"/>
      <c r="S150" s="3"/>
      <c r="U150" s="3"/>
    </row>
    <row r="151" spans="2:21">
      <c r="B151" s="21" t="s">
        <v>119</v>
      </c>
      <c r="C151" s="22">
        <v>87.247799999999998</v>
      </c>
      <c r="D151" s="22">
        <v>28.772200000000002</v>
      </c>
      <c r="E151" s="16"/>
      <c r="F151" s="16">
        <v>-240</v>
      </c>
      <c r="G151" s="16">
        <v>-236</v>
      </c>
      <c r="H151" s="16">
        <v>2.0003322232020495</v>
      </c>
      <c r="I151" s="17">
        <f t="shared" si="2"/>
        <v>2.4746682071387207</v>
      </c>
      <c r="J151" s="16" t="s">
        <v>152</v>
      </c>
      <c r="K151" s="19">
        <v>138</v>
      </c>
      <c r="L151" s="19" t="str" cm="1">
        <f t="array" ref="L151">_xlfn.IFS(AND(M151="Brahmaputra"), "Himalaya",   AND(C151&lt;95,D151&gt;32.5), "Central Tibet",   AND(C151&gt;95,D151&gt;36), "Northeast Tibet",   AND(M151="Mekong"), "Yunnan",   AND(M151="Yangtze",C151&gt;95,D151&lt;36), "Yunnan")</f>
        <v>Himalaya</v>
      </c>
      <c r="M151" s="26" t="s">
        <v>378</v>
      </c>
      <c r="N151" s="23">
        <v>4545</v>
      </c>
      <c r="O151" s="3" t="s">
        <v>207</v>
      </c>
      <c r="P151" s="20" t="s">
        <v>148</v>
      </c>
      <c r="Q151" s="13"/>
      <c r="R151" s="13"/>
      <c r="S151" s="3"/>
      <c r="U151" s="3"/>
    </row>
    <row r="152" spans="2:21">
      <c r="B152" s="21" t="s">
        <v>120</v>
      </c>
      <c r="C152" s="22">
        <v>86.167199999999994</v>
      </c>
      <c r="D152" s="22">
        <v>28.516400000000001</v>
      </c>
      <c r="E152" s="16"/>
      <c r="F152" s="16">
        <v>-218</v>
      </c>
      <c r="G152" s="16">
        <v>-240</v>
      </c>
      <c r="H152" s="16">
        <v>2.0003322232020495</v>
      </c>
      <c r="I152" s="17">
        <f t="shared" si="2"/>
        <v>2.4746682071387207</v>
      </c>
      <c r="J152" s="16" t="s">
        <v>152</v>
      </c>
      <c r="K152" s="19">
        <v>139</v>
      </c>
      <c r="L152" s="19" t="str" cm="1">
        <f t="array" ref="L152">_xlfn.IFS(AND(M152="Brahmaputra"), "Himalaya",   AND(C152&lt;95,D152&gt;32.5), "Central Tibet",   AND(C152&gt;95,D152&gt;36), "Northeast Tibet",   AND(M152="Mekong"), "Yunnan",   AND(M152="Yangtze",C152&gt;95,D152&lt;36), "Yunnan")</f>
        <v>Himalaya</v>
      </c>
      <c r="M152" s="26" t="s">
        <v>378</v>
      </c>
      <c r="N152" s="23">
        <v>5145</v>
      </c>
      <c r="O152" s="3" t="s">
        <v>208</v>
      </c>
      <c r="P152" s="20" t="s">
        <v>148</v>
      </c>
      <c r="Q152" s="13"/>
      <c r="R152" s="13"/>
      <c r="S152" s="3"/>
      <c r="U152" s="3"/>
    </row>
    <row r="153" spans="2:21">
      <c r="B153" s="21" t="s">
        <v>121</v>
      </c>
      <c r="C153" s="22">
        <v>86.148099999999999</v>
      </c>
      <c r="D153" s="22">
        <v>28.488900000000001</v>
      </c>
      <c r="E153" s="16"/>
      <c r="F153" s="16">
        <v>-239</v>
      </c>
      <c r="G153" s="16">
        <v>-261</v>
      </c>
      <c r="H153" s="16">
        <v>2.0003322232020495</v>
      </c>
      <c r="I153" s="17">
        <f t="shared" si="2"/>
        <v>2.4746682071387207</v>
      </c>
      <c r="J153" s="16" t="s">
        <v>152</v>
      </c>
      <c r="K153" s="19">
        <v>140</v>
      </c>
      <c r="L153" s="19" t="str" cm="1">
        <f t="array" ref="L153">_xlfn.IFS(AND(M153="Brahmaputra"), "Himalaya",   AND(C153&lt;95,D153&gt;32.5), "Central Tibet",   AND(C153&gt;95,D153&gt;36), "Northeast Tibet",   AND(M153="Mekong"), "Yunnan",   AND(M153="Yangtze",C153&gt;95,D153&lt;36), "Yunnan")</f>
        <v>Himalaya</v>
      </c>
      <c r="M153" s="26" t="s">
        <v>378</v>
      </c>
      <c r="N153" s="23">
        <v>4852</v>
      </c>
      <c r="O153" s="3" t="s">
        <v>209</v>
      </c>
      <c r="P153" s="20" t="s">
        <v>148</v>
      </c>
      <c r="Q153" s="13"/>
      <c r="R153" s="13"/>
      <c r="S153" s="3"/>
      <c r="U153" s="3"/>
    </row>
    <row r="154" spans="2:21">
      <c r="B154" s="21" t="s">
        <v>122</v>
      </c>
      <c r="C154" s="22">
        <v>86.157200000000003</v>
      </c>
      <c r="D154" s="22">
        <v>28.484999999999999</v>
      </c>
      <c r="E154" s="16"/>
      <c r="F154" s="16">
        <v>-224</v>
      </c>
      <c r="G154" s="16">
        <v>-255</v>
      </c>
      <c r="H154" s="16">
        <v>2.0003322232020495</v>
      </c>
      <c r="I154" s="17">
        <f t="shared" si="2"/>
        <v>2.4746682071387207</v>
      </c>
      <c r="J154" s="16" t="s">
        <v>152</v>
      </c>
      <c r="K154" s="19">
        <v>141</v>
      </c>
      <c r="L154" s="19" t="str" cm="1">
        <f t="array" ref="L154">_xlfn.IFS(AND(M154="Brahmaputra"), "Himalaya",   AND(C154&lt;95,D154&gt;32.5), "Central Tibet",   AND(C154&gt;95,D154&gt;36), "Northeast Tibet",   AND(M154="Mekong"), "Yunnan",   AND(M154="Yangtze",C154&gt;95,D154&lt;36), "Yunnan")</f>
        <v>Himalaya</v>
      </c>
      <c r="M154" s="26" t="s">
        <v>378</v>
      </c>
      <c r="N154" s="23">
        <v>4758</v>
      </c>
      <c r="O154" s="3" t="s">
        <v>210</v>
      </c>
      <c r="P154" s="20" t="s">
        <v>148</v>
      </c>
      <c r="Q154" s="13"/>
      <c r="R154" s="13"/>
      <c r="S154" s="3"/>
      <c r="U154" s="3"/>
    </row>
    <row r="155" spans="2:21">
      <c r="B155" s="21" t="s">
        <v>123</v>
      </c>
      <c r="C155" s="22">
        <v>86.163899999999998</v>
      </c>
      <c r="D155" s="22">
        <v>28.4756</v>
      </c>
      <c r="E155" s="16"/>
      <c r="F155" s="16">
        <v>-216</v>
      </c>
      <c r="G155" s="16">
        <v>-237</v>
      </c>
      <c r="H155" s="16">
        <v>2.0003322232020495</v>
      </c>
      <c r="I155" s="17">
        <f t="shared" si="2"/>
        <v>2.4746682071387207</v>
      </c>
      <c r="J155" s="16" t="s">
        <v>152</v>
      </c>
      <c r="K155" s="19">
        <v>142</v>
      </c>
      <c r="L155" s="19" t="str" cm="1">
        <f t="array" ref="L155">_xlfn.IFS(AND(M155="Brahmaputra"), "Himalaya",   AND(C155&lt;95,D155&gt;32.5), "Central Tibet",   AND(C155&gt;95,D155&gt;36), "Northeast Tibet",   AND(M155="Mekong"), "Yunnan",   AND(M155="Yangtze",C155&gt;95,D155&lt;36), "Yunnan")</f>
        <v>Himalaya</v>
      </c>
      <c r="M155" s="26" t="s">
        <v>378</v>
      </c>
      <c r="N155" s="23">
        <v>4658</v>
      </c>
      <c r="O155" s="3" t="s">
        <v>211</v>
      </c>
      <c r="P155" s="20" t="s">
        <v>146</v>
      </c>
      <c r="Q155" s="13"/>
      <c r="R155" s="13"/>
      <c r="S155" s="3"/>
      <c r="U155" s="3"/>
    </row>
    <row r="156" spans="2:21">
      <c r="B156" s="21" t="s">
        <v>124</v>
      </c>
      <c r="C156" s="22">
        <v>86.156099999999995</v>
      </c>
      <c r="D156" s="22">
        <v>28.438600000000001</v>
      </c>
      <c r="E156" s="16"/>
      <c r="F156" s="16">
        <v>-228</v>
      </c>
      <c r="G156" s="16">
        <v>-266</v>
      </c>
      <c r="H156" s="16">
        <v>2.0003322232020495</v>
      </c>
      <c r="I156" s="17">
        <f t="shared" si="2"/>
        <v>2.4746682071387207</v>
      </c>
      <c r="J156" s="16" t="s">
        <v>152</v>
      </c>
      <c r="K156" s="19">
        <v>143</v>
      </c>
      <c r="L156" s="19" t="str" cm="1">
        <f t="array" ref="L156">_xlfn.IFS(AND(M156="Brahmaputra"), "Himalaya",   AND(C156&lt;95,D156&gt;32.5), "Central Tibet",   AND(C156&gt;95,D156&gt;36), "Northeast Tibet",   AND(M156="Mekong"), "Yunnan",   AND(M156="Yangtze",C156&gt;95,D156&lt;36), "Yunnan")</f>
        <v>Himalaya</v>
      </c>
      <c r="M156" s="26" t="s">
        <v>378</v>
      </c>
      <c r="N156" s="23">
        <v>4497</v>
      </c>
      <c r="O156" s="3" t="s">
        <v>212</v>
      </c>
      <c r="P156" s="20" t="s">
        <v>146</v>
      </c>
      <c r="Q156" s="13"/>
      <c r="R156" s="13"/>
      <c r="S156" s="3"/>
      <c r="U156" s="3"/>
    </row>
    <row r="157" spans="2:21">
      <c r="B157" s="21" t="s">
        <v>125</v>
      </c>
      <c r="C157" s="22">
        <v>86.098299999999995</v>
      </c>
      <c r="D157" s="22">
        <v>28.3675</v>
      </c>
      <c r="E157" s="16"/>
      <c r="F157" s="16">
        <v>-217</v>
      </c>
      <c r="G157" s="16">
        <v>-238</v>
      </c>
      <c r="H157" s="16">
        <v>2.0003322232020495</v>
      </c>
      <c r="I157" s="17">
        <f t="shared" si="2"/>
        <v>2.4746682071387207</v>
      </c>
      <c r="J157" s="16" t="s">
        <v>152</v>
      </c>
      <c r="K157" s="19">
        <v>144</v>
      </c>
      <c r="L157" s="19" t="str" cm="1">
        <f t="array" ref="L157">_xlfn.IFS(AND(M157="Brahmaputra"), "Himalaya",   AND(C157&lt;95,D157&gt;32.5), "Central Tibet",   AND(C157&gt;95,D157&gt;36), "Northeast Tibet",   AND(M157="Mekong"), "Yunnan",   AND(M157="Yangtze",C157&gt;95,D157&lt;36), "Yunnan")</f>
        <v>Himalaya</v>
      </c>
      <c r="M157" s="26" t="s">
        <v>378</v>
      </c>
      <c r="N157" s="23">
        <v>4340</v>
      </c>
      <c r="O157" s="3" t="s">
        <v>213</v>
      </c>
      <c r="P157" s="20" t="s">
        <v>148</v>
      </c>
      <c r="Q157" s="13"/>
      <c r="R157" s="13"/>
      <c r="S157" s="3"/>
      <c r="U157" s="3"/>
    </row>
    <row r="158" spans="2:21">
      <c r="B158" s="21" t="s">
        <v>126</v>
      </c>
      <c r="C158" s="22">
        <v>86.036699999999996</v>
      </c>
      <c r="D158" s="22">
        <v>28.302800000000001</v>
      </c>
      <c r="E158" s="16"/>
      <c r="F158" s="16">
        <v>-226</v>
      </c>
      <c r="G158" s="16">
        <v>-240</v>
      </c>
      <c r="H158" s="16">
        <v>2.0003322232020495</v>
      </c>
      <c r="I158" s="17">
        <f t="shared" si="2"/>
        <v>2.4746682071387207</v>
      </c>
      <c r="J158" s="16" t="s">
        <v>152</v>
      </c>
      <c r="K158" s="19">
        <v>145</v>
      </c>
      <c r="L158" s="19" t="str" cm="1">
        <f t="array" ref="L158">_xlfn.IFS(AND(M158="Brahmaputra"), "Himalaya",   AND(C158&lt;95,D158&gt;32.5), "Central Tibet",   AND(C158&gt;95,D158&gt;36), "Northeast Tibet",   AND(M158="Mekong"), "Yunnan",   AND(M158="Yangtze",C158&gt;95,D158&lt;36), "Yunnan")</f>
        <v>Himalaya</v>
      </c>
      <c r="M158" s="26" t="s">
        <v>378</v>
      </c>
      <c r="N158" s="23">
        <v>4150</v>
      </c>
      <c r="O158" s="3" t="s">
        <v>214</v>
      </c>
      <c r="P158" s="20" t="s">
        <v>148</v>
      </c>
      <c r="Q158" s="13"/>
      <c r="R158" s="13"/>
      <c r="S158" s="3"/>
      <c r="U158" s="3"/>
    </row>
    <row r="159" spans="2:21">
      <c r="B159" s="21" t="s">
        <v>127</v>
      </c>
      <c r="C159" s="22">
        <v>86.001099999999994</v>
      </c>
      <c r="D159" s="22">
        <v>28.22</v>
      </c>
      <c r="E159" s="16"/>
      <c r="F159" s="16">
        <v>-197</v>
      </c>
      <c r="G159" s="16">
        <v>-226</v>
      </c>
      <c r="H159" s="16">
        <v>2.0003322232020495</v>
      </c>
      <c r="I159" s="17">
        <f t="shared" si="2"/>
        <v>2.4746682071387207</v>
      </c>
      <c r="J159" s="16" t="s">
        <v>152</v>
      </c>
      <c r="K159" s="19">
        <v>146</v>
      </c>
      <c r="L159" s="19" t="str" cm="1">
        <f t="array" ref="L159">_xlfn.IFS(AND(M159="Brahmaputra"), "Himalaya",   AND(C159&lt;95,D159&gt;32.5), "Central Tibet",   AND(C159&gt;95,D159&gt;36), "Northeast Tibet",   AND(M159="Mekong"), "Yunnan",   AND(M159="Yangtze",C159&gt;95,D159&lt;36), "Yunnan")</f>
        <v>Himalaya</v>
      </c>
      <c r="M159" s="26" t="s">
        <v>378</v>
      </c>
      <c r="N159" s="23">
        <v>3920</v>
      </c>
      <c r="O159" s="3" t="s">
        <v>215</v>
      </c>
      <c r="P159" s="20" t="s">
        <v>146</v>
      </c>
      <c r="Q159" s="13"/>
      <c r="R159" s="13"/>
      <c r="S159" s="3"/>
      <c r="U159" s="3"/>
    </row>
    <row r="160" spans="2:21">
      <c r="B160" s="21" t="s">
        <v>128</v>
      </c>
      <c r="C160" s="22">
        <v>85.984700000000004</v>
      </c>
      <c r="D160" s="22">
        <v>28.177800000000001</v>
      </c>
      <c r="E160" s="16"/>
      <c r="F160" s="16">
        <v>-199</v>
      </c>
      <c r="G160" s="16">
        <v>-203</v>
      </c>
      <c r="H160" s="16">
        <v>2.0003322232020495</v>
      </c>
      <c r="I160" s="17">
        <f t="shared" si="2"/>
        <v>2.4746682071387207</v>
      </c>
      <c r="J160" s="16" t="s">
        <v>152</v>
      </c>
      <c r="K160" s="19">
        <v>147</v>
      </c>
      <c r="L160" s="19" t="str" cm="1">
        <f t="array" ref="L160">_xlfn.IFS(AND(M160="Brahmaputra"), "Himalaya",   AND(C160&lt;95,D160&gt;32.5), "Central Tibet",   AND(C160&gt;95,D160&gt;36), "Northeast Tibet",   AND(M160="Mekong"), "Yunnan",   AND(M160="Yangtze",C160&gt;95,D160&lt;36), "Yunnan")</f>
        <v>Himalaya</v>
      </c>
      <c r="M160" s="26" t="s">
        <v>378</v>
      </c>
      <c r="N160" s="23">
        <v>3820</v>
      </c>
      <c r="O160" s="3" t="s">
        <v>216</v>
      </c>
      <c r="P160" s="20" t="s">
        <v>146</v>
      </c>
      <c r="Q160" s="13"/>
      <c r="R160" s="13"/>
      <c r="S160" s="3"/>
      <c r="U160" s="3"/>
    </row>
    <row r="161" spans="2:21">
      <c r="B161" s="21" t="s">
        <v>129</v>
      </c>
      <c r="C161" s="22">
        <v>85.983099999999993</v>
      </c>
      <c r="D161" s="22">
        <v>28.1431</v>
      </c>
      <c r="E161" s="16"/>
      <c r="F161" s="16">
        <v>-210</v>
      </c>
      <c r="G161" s="16">
        <v>-219</v>
      </c>
      <c r="H161" s="16">
        <v>2.0003322232020495</v>
      </c>
      <c r="I161" s="17">
        <f t="shared" si="2"/>
        <v>2.4746682071387207</v>
      </c>
      <c r="J161" s="16" t="s">
        <v>152</v>
      </c>
      <c r="K161" s="19">
        <v>148</v>
      </c>
      <c r="L161" s="19" t="str" cm="1">
        <f t="array" ref="L161">_xlfn.IFS(AND(M161="Brahmaputra"), "Himalaya",   AND(C161&lt;95,D161&gt;32.5), "Central Tibet",   AND(C161&gt;95,D161&gt;36), "Northeast Tibet",   AND(M161="Mekong"), "Yunnan",   AND(M161="Yangtze",C161&gt;95,D161&lt;36), "Yunnan")</f>
        <v>Himalaya</v>
      </c>
      <c r="M161" s="26" t="s">
        <v>378</v>
      </c>
      <c r="N161" s="23">
        <v>3795</v>
      </c>
      <c r="O161" s="3" t="s">
        <v>217</v>
      </c>
      <c r="P161" s="20" t="s">
        <v>148</v>
      </c>
      <c r="Q161" s="13"/>
      <c r="R161" s="13"/>
      <c r="S161" s="3"/>
      <c r="U161" s="3"/>
    </row>
    <row r="162" spans="2:21">
      <c r="B162" s="21" t="s">
        <v>130</v>
      </c>
      <c r="C162" s="22">
        <v>85.988900000000001</v>
      </c>
      <c r="D162" s="22">
        <v>28.125599999999999</v>
      </c>
      <c r="E162" s="16"/>
      <c r="F162" s="16">
        <v>-210</v>
      </c>
      <c r="G162" s="16">
        <v>-209</v>
      </c>
      <c r="H162" s="16">
        <v>2.0003322232020495</v>
      </c>
      <c r="I162" s="17">
        <f t="shared" si="2"/>
        <v>2.4746682071387207</v>
      </c>
      <c r="J162" s="16" t="s">
        <v>152</v>
      </c>
      <c r="K162" s="19">
        <v>149</v>
      </c>
      <c r="L162" s="19" t="str" cm="1">
        <f t="array" ref="L162">_xlfn.IFS(AND(M162="Brahmaputra"), "Himalaya",   AND(C162&lt;95,D162&gt;32.5), "Central Tibet",   AND(C162&gt;95,D162&gt;36), "Northeast Tibet",   AND(M162="Mekong"), "Yunnan",   AND(M162="Yangtze",C162&gt;95,D162&lt;36), "Yunnan")</f>
        <v>Himalaya</v>
      </c>
      <c r="M162" s="26" t="s">
        <v>378</v>
      </c>
      <c r="N162" s="23">
        <v>3607</v>
      </c>
      <c r="O162" s="3" t="s">
        <v>218</v>
      </c>
      <c r="P162" s="20" t="s">
        <v>150</v>
      </c>
      <c r="Q162" s="13"/>
      <c r="R162" s="13"/>
      <c r="S162" s="3"/>
      <c r="U162" s="3"/>
    </row>
    <row r="163" spans="2:21">
      <c r="B163" s="21" t="s">
        <v>131</v>
      </c>
      <c r="C163" s="22">
        <v>86.000799999999998</v>
      </c>
      <c r="D163" s="22">
        <v>28.088100000000001</v>
      </c>
      <c r="E163" s="16"/>
      <c r="F163" s="16">
        <v>-216</v>
      </c>
      <c r="G163" s="16">
        <v>-242</v>
      </c>
      <c r="H163" s="16">
        <v>2.0003322232020495</v>
      </c>
      <c r="I163" s="17">
        <f t="shared" si="2"/>
        <v>2.4746682071387207</v>
      </c>
      <c r="J163" s="16" t="s">
        <v>152</v>
      </c>
      <c r="K163" s="19">
        <v>150</v>
      </c>
      <c r="L163" s="19" t="str" cm="1">
        <f t="array" ref="L163">_xlfn.IFS(AND(M163="Brahmaputra"), "Himalaya",   AND(C163&lt;95,D163&gt;32.5), "Central Tibet",   AND(C163&gt;95,D163&gt;36), "Northeast Tibet",   AND(M163="Mekong"), "Yunnan",   AND(M163="Yangtze",C163&gt;95,D163&lt;36), "Yunnan")</f>
        <v>Himalaya</v>
      </c>
      <c r="M163" s="26" t="s">
        <v>378</v>
      </c>
      <c r="N163" s="23">
        <v>3360</v>
      </c>
      <c r="O163" s="3" t="s">
        <v>219</v>
      </c>
      <c r="P163" s="20" t="s">
        <v>150</v>
      </c>
      <c r="Q163" s="13"/>
      <c r="R163" s="13"/>
      <c r="S163" s="3"/>
      <c r="U163" s="3"/>
    </row>
    <row r="164" spans="2:21">
      <c r="B164" s="21" t="s">
        <v>132</v>
      </c>
      <c r="C164" s="22">
        <v>86.002499999999998</v>
      </c>
      <c r="D164" s="22">
        <v>28.065300000000001</v>
      </c>
      <c r="E164" s="16"/>
      <c r="F164" s="16">
        <v>-219</v>
      </c>
      <c r="G164" s="16">
        <v>-227</v>
      </c>
      <c r="H164" s="16">
        <v>2.0003322232020495</v>
      </c>
      <c r="I164" s="17">
        <f t="shared" si="2"/>
        <v>2.4746682071387207</v>
      </c>
      <c r="J164" s="16" t="s">
        <v>152</v>
      </c>
      <c r="K164" s="19">
        <v>151</v>
      </c>
      <c r="L164" s="19" t="str" cm="1">
        <f t="array" ref="L164">_xlfn.IFS(AND(M164="Brahmaputra"), "Himalaya",   AND(C164&lt;95,D164&gt;32.5), "Central Tibet",   AND(C164&gt;95,D164&gt;36), "Northeast Tibet",   AND(M164="Mekong"), "Yunnan",   AND(M164="Yangtze",C164&gt;95,D164&lt;36), "Yunnan")</f>
        <v>Himalaya</v>
      </c>
      <c r="M164" s="26" t="s">
        <v>378</v>
      </c>
      <c r="N164" s="23">
        <v>3280</v>
      </c>
      <c r="O164" s="3" t="s">
        <v>220</v>
      </c>
      <c r="P164" s="20" t="s">
        <v>147</v>
      </c>
      <c r="Q164" s="13"/>
      <c r="R164" s="13"/>
      <c r="S164" s="3"/>
      <c r="U164" s="3"/>
    </row>
    <row r="165" spans="2:21">
      <c r="B165" s="21" t="s">
        <v>133</v>
      </c>
      <c r="C165" s="22">
        <v>85.989199999999997</v>
      </c>
      <c r="D165" s="22">
        <v>28.037800000000001</v>
      </c>
      <c r="E165" s="16"/>
      <c r="F165" s="16">
        <v>-214</v>
      </c>
      <c r="G165" s="16">
        <v>-208</v>
      </c>
      <c r="H165" s="16">
        <v>2.0003322232020495</v>
      </c>
      <c r="I165" s="17">
        <f t="shared" si="2"/>
        <v>2.4746682071387207</v>
      </c>
      <c r="J165" s="16" t="s">
        <v>152</v>
      </c>
      <c r="K165" s="19">
        <v>152</v>
      </c>
      <c r="L165" s="19" t="str" cm="1">
        <f t="array" ref="L165">_xlfn.IFS(AND(M165="Brahmaputra"), "Himalaya",   AND(C165&lt;95,D165&gt;32.5), "Central Tibet",   AND(C165&gt;95,D165&gt;36), "Northeast Tibet",   AND(M165="Mekong"), "Yunnan",   AND(M165="Yangtze",C165&gt;95,D165&lt;36), "Yunnan")</f>
        <v>Himalaya</v>
      </c>
      <c r="M165" s="26" t="s">
        <v>378</v>
      </c>
      <c r="N165" s="23">
        <v>3090</v>
      </c>
      <c r="O165" s="3" t="s">
        <v>221</v>
      </c>
      <c r="P165" s="20" t="s">
        <v>151</v>
      </c>
      <c r="Q165" s="13"/>
      <c r="R165" s="13"/>
      <c r="S165" s="3"/>
      <c r="U165" s="3"/>
    </row>
    <row r="166" spans="2:21">
      <c r="B166" s="21" t="s">
        <v>134</v>
      </c>
      <c r="C166" s="22">
        <v>85.988100000000003</v>
      </c>
      <c r="D166" s="22">
        <v>28.040299999999998</v>
      </c>
      <c r="E166" s="16"/>
      <c r="F166" s="16">
        <v>-211</v>
      </c>
      <c r="G166" s="16">
        <v>-208</v>
      </c>
      <c r="H166" s="16">
        <v>2.0003322232020495</v>
      </c>
      <c r="I166" s="17">
        <f t="shared" si="2"/>
        <v>2.4746682071387207</v>
      </c>
      <c r="J166" s="16" t="s">
        <v>152</v>
      </c>
      <c r="K166" s="19">
        <v>153</v>
      </c>
      <c r="L166" s="19" t="str" cm="1">
        <f t="array" ref="L166">_xlfn.IFS(AND(M166="Brahmaputra"), "Himalaya",   AND(C166&lt;95,D166&gt;32.5), "Central Tibet",   AND(C166&gt;95,D166&gt;36), "Northeast Tibet",   AND(M166="Mekong"), "Yunnan",   AND(M166="Yangtze",C166&gt;95,D166&lt;36), "Yunnan")</f>
        <v>Himalaya</v>
      </c>
      <c r="M166" s="26" t="s">
        <v>378</v>
      </c>
      <c r="N166" s="23">
        <v>2920</v>
      </c>
      <c r="O166" s="3" t="s">
        <v>222</v>
      </c>
      <c r="P166" s="20" t="s">
        <v>150</v>
      </c>
      <c r="Q166" s="13"/>
      <c r="R166" s="13"/>
      <c r="S166" s="3"/>
      <c r="U166" s="3"/>
    </row>
    <row r="167" spans="2:21">
      <c r="B167" s="21" t="s">
        <v>135</v>
      </c>
      <c r="C167" s="22">
        <v>85.985299999999995</v>
      </c>
      <c r="D167" s="22">
        <v>28.029399999999999</v>
      </c>
      <c r="E167" s="16"/>
      <c r="F167" s="16">
        <v>-193</v>
      </c>
      <c r="G167" s="16">
        <v>-187</v>
      </c>
      <c r="H167" s="16">
        <v>2.0003322232020495</v>
      </c>
      <c r="I167" s="17">
        <f t="shared" si="2"/>
        <v>2.4746682071387207</v>
      </c>
      <c r="J167" s="16" t="s">
        <v>152</v>
      </c>
      <c r="K167" s="19">
        <v>154</v>
      </c>
      <c r="L167" s="19" t="str" cm="1">
        <f t="array" ref="L167">_xlfn.IFS(AND(M167="Brahmaputra"), "Himalaya",   AND(C167&lt;95,D167&gt;32.5), "Central Tibet",   AND(C167&gt;95,D167&gt;36), "Northeast Tibet",   AND(M167="Mekong"), "Yunnan",   AND(M167="Yangtze",C167&gt;95,D167&lt;36), "Yunnan")</f>
        <v>Himalaya</v>
      </c>
      <c r="M167" s="26" t="s">
        <v>378</v>
      </c>
      <c r="N167" s="23">
        <v>2800</v>
      </c>
      <c r="O167" s="3" t="s">
        <v>223</v>
      </c>
      <c r="P167" s="20" t="s">
        <v>148</v>
      </c>
      <c r="Q167" s="13"/>
      <c r="R167" s="13"/>
      <c r="S167" s="3"/>
      <c r="U167" s="3"/>
    </row>
    <row r="168" spans="2:21">
      <c r="B168" s="21" t="s">
        <v>136</v>
      </c>
      <c r="C168" s="22">
        <v>85.977500000000006</v>
      </c>
      <c r="D168" s="22">
        <v>28.004200000000001</v>
      </c>
      <c r="E168" s="16"/>
      <c r="F168" s="16">
        <v>-190</v>
      </c>
      <c r="G168" s="16">
        <v>-191</v>
      </c>
      <c r="H168" s="16">
        <v>2.0003322232020495</v>
      </c>
      <c r="I168" s="17">
        <f t="shared" si="2"/>
        <v>2.4746682071387207</v>
      </c>
      <c r="J168" s="16" t="s">
        <v>152</v>
      </c>
      <c r="K168" s="19">
        <v>155</v>
      </c>
      <c r="L168" s="19" t="str" cm="1">
        <f t="array" ref="L168">_xlfn.IFS(AND(M168="Brahmaputra"), "Himalaya",   AND(C168&lt;95,D168&gt;32.5), "Central Tibet",   AND(C168&gt;95,D168&gt;36), "Northeast Tibet",   AND(M168="Mekong"), "Yunnan",   AND(M168="Yangtze",C168&gt;95,D168&lt;36), "Yunnan")</f>
        <v>Himalaya</v>
      </c>
      <c r="M168" s="26" t="s">
        <v>378</v>
      </c>
      <c r="N168" s="23">
        <v>2570</v>
      </c>
      <c r="O168" s="3" t="s">
        <v>224</v>
      </c>
      <c r="P168" s="20" t="s">
        <v>148</v>
      </c>
      <c r="Q168" s="13"/>
      <c r="R168" s="13"/>
      <c r="S168" s="3"/>
      <c r="U168" s="3"/>
    </row>
    <row r="169" spans="2:21">
      <c r="B169" s="21" t="s">
        <v>137</v>
      </c>
      <c r="C169" s="22">
        <v>85.981899999999996</v>
      </c>
      <c r="D169" s="22">
        <v>27.994199999999999</v>
      </c>
      <c r="E169" s="16"/>
      <c r="F169" s="16">
        <v>-205</v>
      </c>
      <c r="G169" s="16">
        <v>-204</v>
      </c>
      <c r="H169" s="16">
        <v>2.0003322232020495</v>
      </c>
      <c r="I169" s="17">
        <f t="shared" si="2"/>
        <v>2.4746682071387207</v>
      </c>
      <c r="J169" s="16" t="s">
        <v>152</v>
      </c>
      <c r="K169" s="19">
        <v>156</v>
      </c>
      <c r="L169" s="19" t="str" cm="1">
        <f t="array" ref="L169">_xlfn.IFS(AND(M169="Brahmaputra"), "Himalaya",   AND(C169&lt;95,D169&gt;32.5), "Central Tibet",   AND(C169&gt;95,D169&gt;36), "Northeast Tibet",   AND(M169="Mekong"), "Yunnan",   AND(M169="Yangtze",C169&gt;95,D169&lt;36), "Yunnan")</f>
        <v>Himalaya</v>
      </c>
      <c r="M169" s="26" t="s">
        <v>378</v>
      </c>
      <c r="N169" s="23">
        <v>2330</v>
      </c>
      <c r="O169" s="3" t="s">
        <v>225</v>
      </c>
      <c r="P169" s="20" t="s">
        <v>152</v>
      </c>
      <c r="Q169" s="13"/>
      <c r="R169" s="13"/>
      <c r="S169" s="3"/>
      <c r="U169" s="3"/>
    </row>
    <row r="170" spans="2:21">
      <c r="B170" s="21" t="s">
        <v>138</v>
      </c>
      <c r="C170" s="22">
        <v>85.968599999999995</v>
      </c>
      <c r="D170" s="22">
        <v>27.9831</v>
      </c>
      <c r="E170" s="16"/>
      <c r="F170" s="16">
        <v>-183</v>
      </c>
      <c r="G170" s="16">
        <v>-188</v>
      </c>
      <c r="H170" s="16">
        <v>2.0003322232020495</v>
      </c>
      <c r="I170" s="17">
        <f t="shared" si="2"/>
        <v>2.4746682071387207</v>
      </c>
      <c r="J170" s="16" t="s">
        <v>152</v>
      </c>
      <c r="K170" s="19">
        <v>157</v>
      </c>
      <c r="L170" s="19" t="str" cm="1">
        <f t="array" ref="L170">_xlfn.IFS(AND(M170="Brahmaputra"), "Himalaya",   AND(C170&lt;95,D170&gt;32.5), "Central Tibet",   AND(C170&gt;95,D170&gt;36), "Northeast Tibet",   AND(M170="Mekong"), "Yunnan",   AND(M170="Yangtze",C170&gt;95,D170&lt;36), "Yunnan")</f>
        <v>Himalaya</v>
      </c>
      <c r="M170" s="26" t="s">
        <v>378</v>
      </c>
      <c r="N170" s="23">
        <v>2210</v>
      </c>
      <c r="O170" s="3" t="s">
        <v>226</v>
      </c>
      <c r="P170" s="20" t="s">
        <v>153</v>
      </c>
      <c r="Q170" s="13"/>
      <c r="R170" s="13"/>
      <c r="S170" s="3"/>
      <c r="U170" s="3"/>
    </row>
    <row r="171" spans="2:21">
      <c r="B171" s="21" t="s">
        <v>139</v>
      </c>
      <c r="C171" s="22">
        <v>85.976100000000002</v>
      </c>
      <c r="D171" s="22">
        <v>27.974699999999999</v>
      </c>
      <c r="E171" s="16"/>
      <c r="F171" s="16">
        <v>-189</v>
      </c>
      <c r="G171" s="16">
        <v>-178</v>
      </c>
      <c r="H171" s="16">
        <v>2.0003322232020495</v>
      </c>
      <c r="I171" s="17">
        <f t="shared" si="2"/>
        <v>2.4746682071387207</v>
      </c>
      <c r="J171" s="16" t="s">
        <v>152</v>
      </c>
      <c r="K171" s="19">
        <v>158</v>
      </c>
      <c r="L171" s="19" t="str" cm="1">
        <f t="array" ref="L171">_xlfn.IFS(AND(M171="Brahmaputra"), "Himalaya",   AND(C171&lt;95,D171&gt;32.5), "Central Tibet",   AND(C171&gt;95,D171&gt;36), "Northeast Tibet",   AND(M171="Mekong"), "Yunnan",   AND(M171="Yangtze",C171&gt;95,D171&lt;36), "Yunnan")</f>
        <v>Himalaya</v>
      </c>
      <c r="M171" s="26" t="s">
        <v>378</v>
      </c>
      <c r="N171" s="23">
        <v>2130</v>
      </c>
      <c r="O171" s="3" t="s">
        <v>227</v>
      </c>
      <c r="P171" s="20" t="s">
        <v>154</v>
      </c>
      <c r="Q171" s="13"/>
      <c r="R171" s="13"/>
      <c r="S171" s="3"/>
      <c r="U171" s="3"/>
    </row>
    <row r="172" spans="2:21">
      <c r="B172" s="21" t="s">
        <v>140</v>
      </c>
      <c r="C172" s="22">
        <v>85.976399999999998</v>
      </c>
      <c r="D172" s="22">
        <v>27.976700000000001</v>
      </c>
      <c r="E172" s="16"/>
      <c r="F172" s="16">
        <v>-156</v>
      </c>
      <c r="G172" s="16">
        <v>-148</v>
      </c>
      <c r="H172" s="16">
        <v>2.0003322232020495</v>
      </c>
      <c r="I172" s="17">
        <f t="shared" si="2"/>
        <v>2.4746682071387207</v>
      </c>
      <c r="J172" s="16" t="s">
        <v>152</v>
      </c>
      <c r="K172" s="19">
        <v>159</v>
      </c>
      <c r="L172" s="19" t="str" cm="1">
        <f t="array" ref="L172">_xlfn.IFS(AND(M172="Brahmaputra"), "Himalaya",   AND(C172&lt;95,D172&gt;32.5), "Central Tibet",   AND(C172&gt;95,D172&gt;36), "Northeast Tibet",   AND(M172="Mekong"), "Yunnan",   AND(M172="Yangtze",C172&gt;95,D172&lt;36), "Yunnan")</f>
        <v>Himalaya</v>
      </c>
      <c r="M172" s="26" t="s">
        <v>378</v>
      </c>
      <c r="N172" s="23">
        <v>2060</v>
      </c>
      <c r="O172" s="3" t="s">
        <v>228</v>
      </c>
      <c r="P172" s="20" t="s">
        <v>150</v>
      </c>
      <c r="Q172" s="13"/>
      <c r="R172" s="13"/>
      <c r="S172" s="3"/>
      <c r="U172" s="3"/>
    </row>
    <row r="173" spans="2:21">
      <c r="B173" s="21" t="s">
        <v>141</v>
      </c>
      <c r="C173" s="22">
        <v>85.966899999999995</v>
      </c>
      <c r="D173" s="22">
        <v>27.965599999999998</v>
      </c>
      <c r="E173" s="16"/>
      <c r="F173" s="16">
        <v>-190</v>
      </c>
      <c r="G173" s="16">
        <v>-178</v>
      </c>
      <c r="H173" s="16">
        <v>2.0003322232020495</v>
      </c>
      <c r="I173" s="17">
        <f t="shared" si="2"/>
        <v>2.4746682071387207</v>
      </c>
      <c r="J173" s="16" t="s">
        <v>152</v>
      </c>
      <c r="K173" s="19">
        <v>160</v>
      </c>
      <c r="L173" s="19" t="str" cm="1">
        <f t="array" ref="L173">_xlfn.IFS(AND(M173="Brahmaputra"), "Himalaya",   AND(C173&lt;95,D173&gt;32.5), "Central Tibet",   AND(C173&gt;95,D173&gt;36), "Northeast Tibet",   AND(M173="Mekong"), "Yunnan",   AND(M173="Yangtze",C173&gt;95,D173&lt;36), "Yunnan")</f>
        <v>Himalaya</v>
      </c>
      <c r="M173" s="26" t="s">
        <v>378</v>
      </c>
      <c r="N173" s="23">
        <v>1960</v>
      </c>
      <c r="O173" s="3" t="s">
        <v>229</v>
      </c>
      <c r="P173" s="20" t="s">
        <v>153</v>
      </c>
      <c r="Q173" s="13"/>
      <c r="R173" s="13"/>
      <c r="S173" s="3"/>
      <c r="U173" s="3"/>
    </row>
    <row r="174" spans="2:21">
      <c r="B174" s="21" t="s">
        <v>142</v>
      </c>
      <c r="C174" s="22">
        <v>85.971699999999998</v>
      </c>
      <c r="D174" s="22">
        <v>27.974399999999999</v>
      </c>
      <c r="E174" s="16"/>
      <c r="F174" s="16">
        <v>-166</v>
      </c>
      <c r="G174" s="16">
        <v>-174</v>
      </c>
      <c r="H174" s="16">
        <v>2.0003322232020495</v>
      </c>
      <c r="I174" s="17">
        <f t="shared" si="2"/>
        <v>2.4746682071387207</v>
      </c>
      <c r="J174" s="16" t="s">
        <v>152</v>
      </c>
      <c r="K174" s="19">
        <v>161</v>
      </c>
      <c r="L174" s="19" t="str" cm="1">
        <f t="array" ref="L174">_xlfn.IFS(AND(M174="Brahmaputra"), "Himalaya",   AND(C174&lt;95,D174&gt;32.5), "Central Tibet",   AND(C174&gt;95,D174&gt;36), "Northeast Tibet",   AND(M174="Mekong"), "Yunnan",   AND(M174="Yangtze",C174&gt;95,D174&lt;36), "Yunnan")</f>
        <v>Himalaya</v>
      </c>
      <c r="M174" s="26" t="s">
        <v>378</v>
      </c>
      <c r="N174" s="23">
        <v>1850</v>
      </c>
      <c r="O174" s="3" t="s">
        <v>230</v>
      </c>
      <c r="P174" s="20" t="s">
        <v>154</v>
      </c>
      <c r="Q174" s="13"/>
      <c r="R174" s="13"/>
      <c r="S174" s="3"/>
      <c r="U174" s="3"/>
    </row>
    <row r="175" spans="2:21">
      <c r="B175" s="21" t="s">
        <v>143</v>
      </c>
      <c r="C175" s="22">
        <v>85.965299999999999</v>
      </c>
      <c r="D175" s="22">
        <v>27.9664</v>
      </c>
      <c r="E175" s="16"/>
      <c r="F175" s="16">
        <v>-174</v>
      </c>
      <c r="G175" s="16">
        <v>-176</v>
      </c>
      <c r="H175" s="16">
        <v>2.0003322232020495</v>
      </c>
      <c r="I175" s="17">
        <f t="shared" si="2"/>
        <v>2.4746682071387207</v>
      </c>
      <c r="J175" s="16" t="s">
        <v>152</v>
      </c>
      <c r="K175" s="19">
        <v>162</v>
      </c>
      <c r="L175" s="19" t="str" cm="1">
        <f t="array" ref="L175">_xlfn.IFS(AND(M175="Brahmaputra"), "Himalaya",   AND(C175&lt;95,D175&gt;32.5), "Central Tibet",   AND(C175&gt;95,D175&gt;36), "Northeast Tibet",   AND(M175="Mekong"), "Yunnan",   AND(M175="Yangtze",C175&gt;95,D175&lt;36), "Yunnan")</f>
        <v>Himalaya</v>
      </c>
      <c r="M175" s="26" t="s">
        <v>378</v>
      </c>
      <c r="N175" s="23">
        <v>1770</v>
      </c>
      <c r="O175" s="3" t="s">
        <v>231</v>
      </c>
      <c r="P175" s="20" t="s">
        <v>149</v>
      </c>
      <c r="Q175" s="13"/>
      <c r="R175" s="13"/>
      <c r="S175" s="3"/>
      <c r="U175" s="3"/>
    </row>
    <row r="176" spans="2:21">
      <c r="B176" s="21" t="s">
        <v>144</v>
      </c>
      <c r="C176" s="22">
        <v>85.962500000000006</v>
      </c>
      <c r="D176" s="22">
        <v>27.631399999999999</v>
      </c>
      <c r="E176" s="16"/>
      <c r="F176" s="16">
        <v>-161</v>
      </c>
      <c r="G176" s="16">
        <v>-148</v>
      </c>
      <c r="H176" s="16">
        <v>2.0003322232020495</v>
      </c>
      <c r="I176" s="17">
        <f t="shared" si="2"/>
        <v>2.4746682071387207</v>
      </c>
      <c r="J176" s="16" t="s">
        <v>152</v>
      </c>
      <c r="K176" s="19">
        <v>163</v>
      </c>
      <c r="L176" s="19" t="str" cm="1">
        <f t="array" ref="L176">_xlfn.IFS(AND(M176="Brahmaputra"), "Himalaya",   AND(C176&lt;95,D176&gt;32.5), "Central Tibet",   AND(C176&gt;95,D176&gt;36), "Northeast Tibet",   AND(M176="Mekong"), "Yunnan",   AND(M176="Yangtze",C176&gt;95,D176&lt;36), "Yunnan")</f>
        <v>Himalaya</v>
      </c>
      <c r="M176" s="26" t="s">
        <v>378</v>
      </c>
      <c r="N176" s="23">
        <v>1660</v>
      </c>
      <c r="O176" s="3" t="s">
        <v>232</v>
      </c>
      <c r="P176" s="20" t="s">
        <v>148</v>
      </c>
      <c r="Q176" s="13"/>
      <c r="R176" s="13"/>
      <c r="S176" s="3"/>
      <c r="U176" s="3"/>
    </row>
    <row r="177" spans="1:21">
      <c r="B177" s="21" t="s">
        <v>145</v>
      </c>
      <c r="C177" s="22">
        <v>85.979200000000006</v>
      </c>
      <c r="D177" s="22">
        <v>27.965800000000002</v>
      </c>
      <c r="E177" s="16"/>
      <c r="F177" s="16">
        <v>-162</v>
      </c>
      <c r="G177" s="16">
        <v>-155</v>
      </c>
      <c r="H177" s="16">
        <v>2.0003322232020495</v>
      </c>
      <c r="I177" s="17">
        <f t="shared" si="2"/>
        <v>2.4746682071387207</v>
      </c>
      <c r="J177" s="16" t="s">
        <v>152</v>
      </c>
      <c r="K177" s="19">
        <v>164</v>
      </c>
      <c r="L177" s="19" t="str" cm="1">
        <f t="array" ref="L177">_xlfn.IFS(AND(M177="Brahmaputra"), "Himalaya",   AND(C177&lt;95,D177&gt;32.5), "Central Tibet",   AND(C177&gt;95,D177&gt;36), "Northeast Tibet",   AND(M177="Mekong"), "Yunnan",   AND(M177="Yangtze",C177&gt;95,D177&lt;36), "Yunnan")</f>
        <v>Himalaya</v>
      </c>
      <c r="M177" s="26" t="s">
        <v>378</v>
      </c>
      <c r="N177" s="23">
        <v>1690</v>
      </c>
      <c r="O177" s="3" t="s">
        <v>233</v>
      </c>
      <c r="P177" s="20" t="s">
        <v>148</v>
      </c>
      <c r="Q177" s="13"/>
      <c r="R177" s="13"/>
      <c r="S177" s="3"/>
      <c r="U177" s="3"/>
    </row>
    <row r="178" spans="1:21">
      <c r="B178" s="5" t="s">
        <v>234</v>
      </c>
      <c r="C178" s="22">
        <v>95.194417000000001</v>
      </c>
      <c r="D178" s="22">
        <v>33.119110999999997</v>
      </c>
      <c r="E178" s="23">
        <v>-201.20421156298229</v>
      </c>
      <c r="F178" s="23">
        <v>-208.34014625617195</v>
      </c>
      <c r="G178" s="23">
        <v>-214.73552531735766</v>
      </c>
      <c r="H178" s="16">
        <v>2.0003322232020495</v>
      </c>
      <c r="I178" s="17">
        <f t="shared" si="2"/>
        <v>2.4746682071387207</v>
      </c>
      <c r="J178" s="16" t="s">
        <v>152</v>
      </c>
      <c r="K178" s="19">
        <v>165</v>
      </c>
      <c r="L178" s="19" t="str" cm="1">
        <f t="array" ref="L178">_xlfn.IFS(AND(M178="Brahmaputra"), "Himalaya",   AND(C178&lt;95,D178&gt;32.5), "Central Tibet",   AND(C178&gt;95,D178&gt;36), "Northeast Tibet",   AND(M178="Mekong"), "Yunnan",   AND(M178="Yangtze",C178&gt;95,D178&lt;36), "Yunnan")</f>
        <v>Yunnan</v>
      </c>
      <c r="M178" s="26" t="s">
        <v>382</v>
      </c>
      <c r="N178" s="23">
        <v>4145.5</v>
      </c>
      <c r="O178" s="3" t="s">
        <v>270</v>
      </c>
      <c r="P178" s="22"/>
      <c r="Q178" s="13"/>
      <c r="R178" s="13"/>
      <c r="T178" s="3"/>
      <c r="U178" s="18"/>
    </row>
    <row r="179" spans="1:21">
      <c r="B179" s="5" t="s">
        <v>235</v>
      </c>
      <c r="C179" s="22">
        <v>95.139416999999995</v>
      </c>
      <c r="D179" s="22">
        <v>32.732306000000001</v>
      </c>
      <c r="E179" s="23">
        <v>-253.30243199999998</v>
      </c>
      <c r="F179" s="23">
        <v>-234.00221010000001</v>
      </c>
      <c r="G179" s="23">
        <v>-235.82483309999998</v>
      </c>
      <c r="H179" s="16">
        <v>2.0003322232020495</v>
      </c>
      <c r="I179" s="17">
        <f t="shared" si="2"/>
        <v>2.4746682071387207</v>
      </c>
      <c r="J179" s="16" t="s">
        <v>152</v>
      </c>
      <c r="K179" s="19">
        <v>166</v>
      </c>
      <c r="L179" s="19" t="str" cm="1">
        <f t="array" ref="L179">_xlfn.IFS(AND(M179="Brahmaputra"), "Himalaya",   AND(C179&lt;95,D179&gt;32.5), "Central Tibet",   AND(C179&gt;95,D179&gt;36), "Northeast Tibet",   AND(M179="Mekong"), "Yunnan",   AND(M179="Yangtze",C179&gt;95,D179&lt;36), "Yunnan")</f>
        <v>Yunnan</v>
      </c>
      <c r="M179" s="26" t="s">
        <v>382</v>
      </c>
      <c r="N179" s="23">
        <v>4154</v>
      </c>
      <c r="O179" s="3" t="s">
        <v>270</v>
      </c>
      <c r="P179" s="22"/>
      <c r="Q179" s="13"/>
      <c r="R179" s="13"/>
      <c r="T179" s="3"/>
      <c r="U179" s="18"/>
    </row>
    <row r="180" spans="1:21">
      <c r="B180" s="5" t="s">
        <v>236</v>
      </c>
      <c r="C180" s="22">
        <v>95.426749999999998</v>
      </c>
      <c r="D180" s="22">
        <v>32.419277999999998</v>
      </c>
      <c r="E180" s="23">
        <v>-223.95144378170295</v>
      </c>
      <c r="F180" s="23">
        <v>-234.29061599999997</v>
      </c>
      <c r="G180" s="23">
        <v>-243.45675539999996</v>
      </c>
      <c r="H180" s="16">
        <v>2.0003322232020495</v>
      </c>
      <c r="I180" s="17">
        <f t="shared" si="2"/>
        <v>2.4746682071387207</v>
      </c>
      <c r="J180" s="16" t="s">
        <v>152</v>
      </c>
      <c r="K180" s="19">
        <v>167</v>
      </c>
      <c r="L180" s="19" t="str" cm="1">
        <f t="array" ref="L180">_xlfn.IFS(AND(M180="Brahmaputra"), "Himalaya",   AND(C180&lt;95,D180&gt;32.5), "Central Tibet",   AND(C180&gt;95,D180&gt;36), "Northeast Tibet",   AND(M180="Mekong"), "Yunnan",   AND(M180="Yangtze",C180&gt;95,D180&lt;36), "Yunnan")</f>
        <v>Yunnan</v>
      </c>
      <c r="M180" s="26" t="s">
        <v>382</v>
      </c>
      <c r="N180" s="23">
        <v>3970</v>
      </c>
      <c r="O180" s="3" t="s">
        <v>270</v>
      </c>
      <c r="P180" s="22"/>
      <c r="Q180" s="13"/>
      <c r="R180" s="13"/>
      <c r="T180" s="3"/>
      <c r="U180" s="18"/>
    </row>
    <row r="181" spans="1:21">
      <c r="B181" s="5" t="s">
        <v>237</v>
      </c>
      <c r="C181" s="22">
        <v>95.956166999999994</v>
      </c>
      <c r="D181" s="22">
        <v>32.337193999999997</v>
      </c>
      <c r="E181" s="23">
        <v>-244.29576220000001</v>
      </c>
      <c r="F181" s="23">
        <v>-240.55863189999999</v>
      </c>
      <c r="G181" s="23">
        <v>-232.49390170000001</v>
      </c>
      <c r="H181" s="16">
        <v>2.0003322232020495</v>
      </c>
      <c r="I181" s="17">
        <f t="shared" si="2"/>
        <v>2.4746682071387207</v>
      </c>
      <c r="J181" s="16" t="s">
        <v>152</v>
      </c>
      <c r="K181" s="19">
        <v>168</v>
      </c>
      <c r="L181" s="19" t="str" cm="1">
        <f t="array" ref="L181">_xlfn.IFS(AND(M181="Brahmaputra"), "Himalaya",   AND(C181&lt;95,D181&gt;32.5), "Central Tibet",   AND(C181&gt;95,D181&gt;36), "Northeast Tibet",   AND(M181="Mekong"), "Yunnan",   AND(M181="Yangtze",C181&gt;95,D181&lt;36), "Yunnan")</f>
        <v>Yunnan</v>
      </c>
      <c r="M181" s="26" t="s">
        <v>382</v>
      </c>
      <c r="N181" s="23">
        <v>4226</v>
      </c>
      <c r="O181" s="3" t="s">
        <v>270</v>
      </c>
      <c r="P181" s="22"/>
      <c r="Q181" s="13"/>
      <c r="R181" s="13"/>
      <c r="T181" s="3"/>
      <c r="U181" s="18"/>
    </row>
    <row r="182" spans="1:21">
      <c r="B182" s="5" t="s">
        <v>238</v>
      </c>
      <c r="C182" s="22">
        <v>96.408472000000003</v>
      </c>
      <c r="D182" s="22">
        <v>31.448471999999999</v>
      </c>
      <c r="E182" s="23">
        <v>-240.50856389999998</v>
      </c>
      <c r="F182" s="23">
        <v>-239.56645789999999</v>
      </c>
      <c r="G182" s="23">
        <v>-249.90387599999997</v>
      </c>
      <c r="H182" s="16">
        <v>2.0003322232020495</v>
      </c>
      <c r="I182" s="17">
        <f t="shared" si="2"/>
        <v>2.4746682071387207</v>
      </c>
      <c r="J182" s="16" t="s">
        <v>152</v>
      </c>
      <c r="K182" s="19">
        <v>169</v>
      </c>
      <c r="L182" s="19" t="str" cm="1">
        <f t="array" ref="L182">_xlfn.IFS(AND(M182="Brahmaputra"), "Himalaya",   AND(C182&lt;95,D182&gt;32.5), "Central Tibet",   AND(C182&gt;95,D182&gt;36), "Northeast Tibet",   AND(M182="Mekong"), "Yunnan",   AND(M182="Yangtze",C182&gt;95,D182&lt;36), "Yunnan")</f>
        <v>Yunnan</v>
      </c>
      <c r="M182" s="26" t="s">
        <v>382</v>
      </c>
      <c r="N182" s="23">
        <v>3969.4</v>
      </c>
      <c r="O182" s="3" t="s">
        <v>270</v>
      </c>
      <c r="P182" s="22"/>
      <c r="Q182" s="13"/>
      <c r="R182" s="13"/>
      <c r="T182" s="3"/>
      <c r="U182" s="18"/>
    </row>
    <row r="183" spans="1:21">
      <c r="B183" s="5" t="s">
        <v>239</v>
      </c>
      <c r="C183" s="22">
        <v>97.435833000000002</v>
      </c>
      <c r="D183" s="22">
        <v>30.682583000000001</v>
      </c>
      <c r="E183" s="23">
        <v>-233.95099590000001</v>
      </c>
      <c r="F183" s="23">
        <v>-219.0998821</v>
      </c>
      <c r="G183" s="23">
        <v>-234.78146930000003</v>
      </c>
      <c r="H183" s="16">
        <v>2.0003322232020495</v>
      </c>
      <c r="I183" s="17">
        <f t="shared" si="2"/>
        <v>2.4746682071387207</v>
      </c>
      <c r="J183" s="16" t="s">
        <v>152</v>
      </c>
      <c r="K183" s="19">
        <v>170</v>
      </c>
      <c r="L183" s="19" t="str" cm="1">
        <f t="array" ref="L183">_xlfn.IFS(AND(M183="Brahmaputra"), "Himalaya",   AND(C183&lt;95,D183&gt;32.5), "Central Tibet",   AND(C183&gt;95,D183&gt;36), "Northeast Tibet",   AND(M183="Mekong"), "Yunnan",   AND(M183="Yangtze",C183&gt;95,D183&lt;36), "Yunnan")</f>
        <v>Yunnan</v>
      </c>
      <c r="M183" s="26" t="s">
        <v>382</v>
      </c>
      <c r="N183" s="23">
        <v>3060</v>
      </c>
      <c r="O183" s="3" t="s">
        <v>270</v>
      </c>
      <c r="P183" s="22"/>
      <c r="Q183" s="13"/>
      <c r="R183" s="13"/>
      <c r="T183" s="3"/>
      <c r="U183" s="18"/>
    </row>
    <row r="184" spans="1:21">
      <c r="A184" s="3" t="s">
        <v>406</v>
      </c>
      <c r="B184" s="5" t="s">
        <v>240</v>
      </c>
      <c r="C184" s="22">
        <v>97.652388999999999</v>
      </c>
      <c r="D184" s="22">
        <v>29.879528000000001</v>
      </c>
      <c r="E184" s="23">
        <v>-243.87851710000001</v>
      </c>
      <c r="F184" s="23">
        <v>-246.69881279999998</v>
      </c>
      <c r="G184" s="23">
        <v>-242.7819307</v>
      </c>
      <c r="H184" s="16">
        <v>2.0003322232020495</v>
      </c>
      <c r="I184" s="17">
        <f t="shared" si="2"/>
        <v>2.4746682071387207</v>
      </c>
      <c r="J184" s="16" t="s">
        <v>152</v>
      </c>
      <c r="K184" s="19">
        <v>171</v>
      </c>
      <c r="L184" s="19" t="str" cm="1">
        <f t="array" ref="L184">_xlfn.IFS(AND(M184="Brahmaputra"), "Himalaya",   AND(C184&lt;95,D184&gt;32.5), "Central Tibet",   AND(C184&gt;95,D184&gt;36), "Northeast Tibet",   AND(M184="Mekong"), "Yunnan",   AND(M184="Yangtze",C184&gt;95,D184&lt;36), "Yunnan")</f>
        <v>Himalaya</v>
      </c>
      <c r="M184" s="26" t="s">
        <v>378</v>
      </c>
      <c r="N184" s="23">
        <v>3818</v>
      </c>
      <c r="O184" s="3" t="s">
        <v>270</v>
      </c>
      <c r="P184" s="22"/>
      <c r="Q184" s="13"/>
      <c r="R184" s="13"/>
      <c r="T184" s="3"/>
      <c r="U184" s="18"/>
    </row>
    <row r="185" spans="1:21">
      <c r="A185" s="3" t="s">
        <v>406</v>
      </c>
      <c r="B185" s="5" t="s">
        <v>241</v>
      </c>
      <c r="C185" s="22">
        <v>98.678027999999998</v>
      </c>
      <c r="D185" s="22">
        <v>29.371749999999999</v>
      </c>
      <c r="E185" s="23">
        <v>-227.45456168198575</v>
      </c>
      <c r="F185" s="23">
        <v>-220.60170645338616</v>
      </c>
      <c r="G185" s="23">
        <v>-215.4687765541413</v>
      </c>
      <c r="H185" s="16">
        <v>2.0003322232020495</v>
      </c>
      <c r="I185" s="17">
        <f t="shared" si="2"/>
        <v>2.4746682071387207</v>
      </c>
      <c r="J185" s="16" t="s">
        <v>152</v>
      </c>
      <c r="K185" s="19">
        <v>172</v>
      </c>
      <c r="L185" s="19" t="str" cm="1">
        <f t="array" ref="L185">_xlfn.IFS(AND(M185="Brahmaputra"), "Himalaya",   AND(C185&lt;95,D185&gt;32.5), "Central Tibet",   AND(C185&gt;95,D185&gt;36), "Northeast Tibet",   AND(M185="Mekong"), "Yunnan",   AND(M185="Yangtze",C185&gt;95,D185&lt;36), "Yunnan")</f>
        <v>Yunnan</v>
      </c>
      <c r="M185" s="26" t="s">
        <v>379</v>
      </c>
      <c r="N185" s="23">
        <v>3589.5</v>
      </c>
      <c r="O185" s="3" t="s">
        <v>270</v>
      </c>
      <c r="P185" s="22"/>
      <c r="Q185" s="13"/>
      <c r="R185" s="13"/>
      <c r="T185" s="3"/>
      <c r="U185" s="18"/>
    </row>
    <row r="186" spans="1:21">
      <c r="A186" s="3" t="s">
        <v>406</v>
      </c>
      <c r="B186" s="5" t="s">
        <v>242</v>
      </c>
      <c r="C186" s="22">
        <v>99.278222</v>
      </c>
      <c r="D186" s="22">
        <v>28.239528</v>
      </c>
      <c r="E186" s="23">
        <v>-227.45456168198575</v>
      </c>
      <c r="F186" s="23">
        <v>-220.60170645338616</v>
      </c>
      <c r="G186" s="23">
        <v>-215.4687765541413</v>
      </c>
      <c r="H186" s="16">
        <v>2.0003322232020495</v>
      </c>
      <c r="I186" s="17">
        <f t="shared" si="2"/>
        <v>2.4746682071387207</v>
      </c>
      <c r="J186" s="16" t="s">
        <v>152</v>
      </c>
      <c r="K186" s="19">
        <v>173</v>
      </c>
      <c r="L186" s="19" t="str" cm="1">
        <f t="array" ref="L186">_xlfn.IFS(AND(M186="Brahmaputra"), "Himalaya",   AND(C186&lt;95,D186&gt;32.5), "Central Tibet",   AND(C186&gt;95,D186&gt;36), "Northeast Tibet",   AND(M186="Mekong"), "Yunnan",   AND(M186="Yangtze",C186&gt;95,D186&lt;36), "Yunnan")</f>
        <v>Yunnan</v>
      </c>
      <c r="M186" s="26" t="s">
        <v>379</v>
      </c>
      <c r="N186" s="23">
        <v>2247.6</v>
      </c>
      <c r="O186" s="3" t="s">
        <v>270</v>
      </c>
      <c r="P186" s="22"/>
      <c r="Q186" s="13"/>
      <c r="R186" s="13"/>
      <c r="T186" s="3"/>
      <c r="U186" s="18"/>
    </row>
    <row r="187" spans="1:21">
      <c r="A187" s="3" t="s">
        <v>406</v>
      </c>
      <c r="B187" s="5" t="s">
        <v>243</v>
      </c>
      <c r="C187" s="22">
        <v>100.025806</v>
      </c>
      <c r="D187" s="22">
        <v>27.223472000000001</v>
      </c>
      <c r="E187" s="23">
        <v>-206.64386269370141</v>
      </c>
      <c r="F187" s="23">
        <v>-203.98210310447692</v>
      </c>
      <c r="G187" s="23">
        <v>-199.44270351029922</v>
      </c>
      <c r="H187" s="16">
        <v>2.0003322232020495</v>
      </c>
      <c r="I187" s="17">
        <f t="shared" si="2"/>
        <v>2.4746682071387207</v>
      </c>
      <c r="J187" s="16" t="s">
        <v>152</v>
      </c>
      <c r="K187" s="19">
        <v>174</v>
      </c>
      <c r="L187" s="19" t="str" cm="1">
        <f t="array" ref="L187">_xlfn.IFS(AND(M187="Brahmaputra"), "Himalaya",   AND(C187&lt;95,D187&gt;32.5), "Central Tibet",   AND(C187&gt;95,D187&gt;36), "Northeast Tibet",   AND(M187="Mekong"), "Yunnan",   AND(M187="Yangtze",C187&gt;95,D187&lt;36), "Yunnan")</f>
        <v>Yunnan</v>
      </c>
      <c r="M187" s="26" t="s">
        <v>379</v>
      </c>
      <c r="N187" s="23">
        <v>1970.6</v>
      </c>
      <c r="O187" s="3" t="s">
        <v>270</v>
      </c>
      <c r="P187" s="22"/>
      <c r="Q187" s="13"/>
      <c r="R187" s="13"/>
      <c r="T187" s="3"/>
      <c r="U187" s="18"/>
    </row>
    <row r="188" spans="1:21">
      <c r="A188" s="3" t="s">
        <v>406</v>
      </c>
      <c r="B188" s="5" t="s">
        <v>244</v>
      </c>
      <c r="C188" s="22">
        <v>98.034943999999996</v>
      </c>
      <c r="D188" s="22">
        <v>31.330971999999999</v>
      </c>
      <c r="E188" s="23">
        <v>-222.98462979999999</v>
      </c>
      <c r="F188" s="23">
        <v>-240.33871210000001</v>
      </c>
      <c r="G188" s="23">
        <v>-249.00294969999999</v>
      </c>
      <c r="H188" s="16">
        <v>2.0003322232020495</v>
      </c>
      <c r="I188" s="17">
        <f t="shared" si="2"/>
        <v>2.4746682071387207</v>
      </c>
      <c r="J188" s="16" t="s">
        <v>152</v>
      </c>
      <c r="K188" s="19">
        <v>175</v>
      </c>
      <c r="L188" s="19" t="str" cm="1">
        <f t="array" ref="L188">_xlfn.IFS(AND(M188="Brahmaputra"), "Himalaya",   AND(C188&lt;95,D188&gt;32.5), "Central Tibet",   AND(C188&gt;95,D188&gt;36), "Northeast Tibet",   AND(M188="Mekong"), "Yunnan",   AND(M188="Yangtze",C188&gt;95,D188&lt;36), "Yunnan")</f>
        <v>Yunnan</v>
      </c>
      <c r="M188" s="26" t="s">
        <v>379</v>
      </c>
      <c r="N188" s="23">
        <v>4147</v>
      </c>
      <c r="O188" s="3" t="s">
        <v>270</v>
      </c>
      <c r="P188" s="22"/>
      <c r="Q188" s="13"/>
      <c r="R188" s="13"/>
      <c r="T188" s="3"/>
      <c r="U188" s="18"/>
    </row>
    <row r="189" spans="1:21">
      <c r="A189" s="3" t="s">
        <v>406</v>
      </c>
      <c r="B189" s="5" t="s">
        <v>245</v>
      </c>
      <c r="C189" s="22">
        <v>97.741056</v>
      </c>
      <c r="D189" s="22">
        <v>31.806583</v>
      </c>
      <c r="E189" s="23">
        <v>-209.64351287498764</v>
      </c>
      <c r="F189" s="23">
        <v>-202.1145687172162</v>
      </c>
      <c r="G189" s="23">
        <v>-209.35602697744343</v>
      </c>
      <c r="H189" s="16">
        <v>2.0003322232020495</v>
      </c>
      <c r="I189" s="17">
        <f t="shared" si="2"/>
        <v>2.4746682071387207</v>
      </c>
      <c r="J189" s="16" t="s">
        <v>152</v>
      </c>
      <c r="K189" s="19">
        <v>176</v>
      </c>
      <c r="L189" s="19" t="str" cm="1">
        <f t="array" ref="L189">_xlfn.IFS(AND(M189="Brahmaputra"), "Himalaya",   AND(C189&lt;95,D189&gt;32.5), "Central Tibet",   AND(C189&gt;95,D189&gt;36), "Northeast Tibet",   AND(M189="Mekong"), "Yunnan",   AND(M189="Yangtze",C189&gt;95,D189&lt;36), "Yunnan")</f>
        <v>Yunnan</v>
      </c>
      <c r="M189" s="26" t="s">
        <v>382</v>
      </c>
      <c r="N189" s="23">
        <v>3978</v>
      </c>
      <c r="O189" s="3" t="s">
        <v>270</v>
      </c>
      <c r="P189" s="22"/>
      <c r="Q189" s="13"/>
      <c r="R189" s="13"/>
      <c r="T189" s="3"/>
      <c r="U189" s="18"/>
    </row>
    <row r="190" spans="1:21">
      <c r="A190" s="3" t="s">
        <v>406</v>
      </c>
      <c r="B190" s="5" t="s">
        <v>246</v>
      </c>
      <c r="C190" s="22">
        <v>98.869416000000001</v>
      </c>
      <c r="D190" s="22">
        <v>28.455252999999999</v>
      </c>
      <c r="E190" s="23">
        <v>-215.64024879999999</v>
      </c>
      <c r="F190" s="23">
        <v>-230.84132919999999</v>
      </c>
      <c r="G190" s="23" t="s">
        <v>364</v>
      </c>
      <c r="H190" s="16">
        <v>2.0003322232020495</v>
      </c>
      <c r="I190" s="17">
        <f t="shared" si="2"/>
        <v>2.4746682071387207</v>
      </c>
      <c r="J190" s="16" t="s">
        <v>152</v>
      </c>
      <c r="K190" s="19">
        <v>177</v>
      </c>
      <c r="L190" s="19" t="str" cm="1">
        <f t="array" ref="L190">_xlfn.IFS(AND(M190="Brahmaputra"), "Himalaya",   AND(C190&lt;95,D190&gt;32.5), "Central Tibet",   AND(C190&gt;95,D190&gt;36), "Northeast Tibet",   AND(M190="Mekong"), "Yunnan",   AND(M190="Yangtze",C190&gt;95,D190&lt;36), "Yunnan")</f>
        <v>Yunnan</v>
      </c>
      <c r="M190" s="26" t="s">
        <v>382</v>
      </c>
      <c r="N190" s="23">
        <v>3300</v>
      </c>
      <c r="O190" s="3" t="s">
        <v>270</v>
      </c>
      <c r="P190" s="22"/>
      <c r="Q190" s="13"/>
      <c r="R190" s="13"/>
      <c r="T190" s="3"/>
      <c r="U190" s="18"/>
    </row>
    <row r="191" spans="1:21">
      <c r="A191" s="3" t="s">
        <v>406</v>
      </c>
      <c r="B191" s="5" t="s">
        <v>247</v>
      </c>
      <c r="C191" s="22">
        <v>98.427243000000004</v>
      </c>
      <c r="D191" s="22">
        <v>28.442784</v>
      </c>
      <c r="E191" s="23">
        <v>-237.64216419999997</v>
      </c>
      <c r="F191" s="23">
        <v>-243.45739889999999</v>
      </c>
      <c r="G191" s="23">
        <v>-236.96627969999997</v>
      </c>
      <c r="H191" s="16">
        <v>2.0003322232020495</v>
      </c>
      <c r="I191" s="17">
        <f t="shared" si="2"/>
        <v>2.4746682071387207</v>
      </c>
      <c r="J191" s="16" t="s">
        <v>152</v>
      </c>
      <c r="K191" s="19">
        <v>178</v>
      </c>
      <c r="L191" s="19" t="str" cm="1">
        <f t="array" ref="L191">_xlfn.IFS(AND(M191="Brahmaputra"), "Himalaya",   AND(C191&lt;95,D191&gt;32.5), "Central Tibet",   AND(C191&gt;95,D191&gt;36), "Northeast Tibet",   AND(M191="Mekong"), "Yunnan",   AND(M191="Yangtze",C191&gt;95,D191&lt;36), "Yunnan")</f>
        <v>Himalaya</v>
      </c>
      <c r="M191" s="26" t="s">
        <v>378</v>
      </c>
      <c r="N191" s="23">
        <v>3516</v>
      </c>
      <c r="O191" s="3" t="s">
        <v>270</v>
      </c>
      <c r="P191" s="22"/>
      <c r="Q191" s="13"/>
      <c r="R191" s="13"/>
      <c r="T191" s="3"/>
      <c r="U191" s="18"/>
    </row>
    <row r="192" spans="1:21">
      <c r="A192" s="3" t="s">
        <v>406</v>
      </c>
      <c r="B192" s="5" t="s">
        <v>248</v>
      </c>
      <c r="C192" s="22">
        <v>98.963267000000002</v>
      </c>
      <c r="D192" s="22">
        <v>28.416855999999999</v>
      </c>
      <c r="E192" s="23">
        <v>-232.83532969999999</v>
      </c>
      <c r="F192" s="23">
        <v>-240.2568698</v>
      </c>
      <c r="G192" s="23">
        <v>-238.59993980000002</v>
      </c>
      <c r="H192" s="16">
        <v>2.0003322232020495</v>
      </c>
      <c r="I192" s="17">
        <f t="shared" si="2"/>
        <v>2.4746682071387207</v>
      </c>
      <c r="J192" s="16" t="s">
        <v>152</v>
      </c>
      <c r="K192" s="19">
        <v>179</v>
      </c>
      <c r="L192" s="19" t="str" cm="1">
        <f t="array" ref="L192">_xlfn.IFS(AND(M192="Brahmaputra"), "Himalaya",   AND(C192&lt;95,D192&gt;32.5), "Central Tibet",   AND(C192&gt;95,D192&gt;36), "Northeast Tibet",   AND(M192="Mekong"), "Yunnan",   AND(M192="Yangtze",C192&gt;95,D192&lt;36), "Yunnan")</f>
        <v>Yunnan</v>
      </c>
      <c r="M192" s="26" t="s">
        <v>382</v>
      </c>
      <c r="N192" s="23">
        <v>3750</v>
      </c>
      <c r="O192" s="3" t="s">
        <v>270</v>
      </c>
      <c r="P192" s="22"/>
      <c r="Q192" s="13"/>
      <c r="R192" s="13"/>
      <c r="T192" s="3"/>
      <c r="U192" s="18"/>
    </row>
    <row r="193" spans="1:21">
      <c r="A193" s="3" t="s">
        <v>406</v>
      </c>
      <c r="B193" s="5" t="s">
        <v>249</v>
      </c>
      <c r="C193" s="22">
        <v>100.527905</v>
      </c>
      <c r="D193" s="22">
        <v>22.192869999999999</v>
      </c>
      <c r="E193" s="23">
        <v>-201.1066265</v>
      </c>
      <c r="F193" s="23">
        <v>-209.77036200000003</v>
      </c>
      <c r="G193" s="23">
        <v>-196.84379750000002</v>
      </c>
      <c r="H193" s="16">
        <v>2.0003322232020495</v>
      </c>
      <c r="I193" s="17">
        <f t="shared" si="2"/>
        <v>2.4746682071387207</v>
      </c>
      <c r="J193" s="16" t="s">
        <v>152</v>
      </c>
      <c r="K193" s="19">
        <v>180</v>
      </c>
      <c r="L193" s="19" t="str" cm="1">
        <f t="array" ref="L193">_xlfn.IFS(AND(M193="Brahmaputra"), "Himalaya",   AND(C193&lt;95,D193&gt;32.5), "Central Tibet",   AND(C193&gt;95,D193&gt;36), "Northeast Tibet",   AND(M193="Mekong"), "Yunnan",   AND(M193="Yangtze",C193&gt;95,D193&lt;36), "Yunnan")</f>
        <v>Yunnan</v>
      </c>
      <c r="M193" s="26" t="s">
        <v>382</v>
      </c>
      <c r="N193" s="23">
        <v>1400</v>
      </c>
      <c r="O193" s="3" t="s">
        <v>270</v>
      </c>
      <c r="P193" s="22"/>
      <c r="Q193" s="13"/>
      <c r="R193" s="13"/>
      <c r="T193" s="3"/>
      <c r="U193" s="18"/>
    </row>
    <row r="194" spans="1:21">
      <c r="A194" s="3" t="s">
        <v>406</v>
      </c>
      <c r="B194" s="5" t="s">
        <v>250</v>
      </c>
      <c r="C194" s="22">
        <v>101.270996</v>
      </c>
      <c r="D194" s="22">
        <v>22.341296</v>
      </c>
      <c r="E194" s="23">
        <v>-205.30518670000001</v>
      </c>
      <c r="F194" s="23">
        <v>-212.5640464</v>
      </c>
      <c r="G194" s="23">
        <v>-193.2618161</v>
      </c>
      <c r="H194" s="16">
        <v>2.0003322232020495</v>
      </c>
      <c r="I194" s="17">
        <f t="shared" si="2"/>
        <v>2.4746682071387207</v>
      </c>
      <c r="J194" s="16" t="s">
        <v>152</v>
      </c>
      <c r="K194" s="19">
        <v>181</v>
      </c>
      <c r="L194" s="19" t="str" cm="1">
        <f t="array" ref="L194">_xlfn.IFS(AND(M194="Brahmaputra"), "Himalaya",   AND(C194&lt;95,D194&gt;32.5), "Central Tibet",   AND(C194&gt;95,D194&gt;36), "Northeast Tibet",   AND(M194="Mekong"), "Yunnan",   AND(M194="Yangtze",C194&gt;95,D194&lt;36), "Yunnan")</f>
        <v>Yunnan</v>
      </c>
      <c r="M194" s="26" t="s">
        <v>382</v>
      </c>
      <c r="N194" s="23">
        <v>931</v>
      </c>
      <c r="O194" s="3" t="s">
        <v>270</v>
      </c>
      <c r="P194" s="22"/>
      <c r="Q194" s="13"/>
      <c r="R194" s="13"/>
      <c r="T194" s="3"/>
      <c r="U194" s="18"/>
    </row>
    <row r="195" spans="1:21">
      <c r="A195" s="3" t="s">
        <v>406</v>
      </c>
      <c r="B195" s="5" t="s">
        <v>251</v>
      </c>
      <c r="C195" s="22">
        <v>101.32093</v>
      </c>
      <c r="D195" s="22">
        <v>22.71668</v>
      </c>
      <c r="E195" s="23">
        <v>-195.72712709999999</v>
      </c>
      <c r="F195" s="23">
        <v>-188.21169429999998</v>
      </c>
      <c r="G195" s="23">
        <v>-185.9502359</v>
      </c>
      <c r="H195" s="16">
        <v>2.0003322232020495</v>
      </c>
      <c r="I195" s="17">
        <f t="shared" si="2"/>
        <v>2.4746682071387207</v>
      </c>
      <c r="J195" s="16" t="s">
        <v>152</v>
      </c>
      <c r="K195" s="19">
        <v>182</v>
      </c>
      <c r="L195" s="19" t="str" cm="1">
        <f t="array" ref="L195">_xlfn.IFS(AND(M195="Brahmaputra"), "Himalaya",   AND(C195&lt;95,D195&gt;32.5), "Central Tibet",   AND(C195&gt;95,D195&gt;36), "Northeast Tibet",   AND(M195="Mekong"), "Yunnan",   AND(M195="Yangtze",C195&gt;95,D195&lt;36), "Yunnan")</f>
        <v>Yunnan</v>
      </c>
      <c r="M195" s="26" t="s">
        <v>382</v>
      </c>
      <c r="N195" s="23">
        <v>956</v>
      </c>
      <c r="O195" s="3" t="s">
        <v>270</v>
      </c>
      <c r="P195" s="22"/>
      <c r="Q195" s="13"/>
      <c r="R195" s="13"/>
      <c r="T195" s="3"/>
      <c r="U195" s="18"/>
    </row>
    <row r="196" spans="1:21">
      <c r="A196" s="3" t="s">
        <v>406</v>
      </c>
      <c r="B196" s="5" t="s">
        <v>252</v>
      </c>
      <c r="C196" s="22">
        <v>101.2959</v>
      </c>
      <c r="D196" s="22">
        <v>27.458100000000002</v>
      </c>
      <c r="E196" s="23">
        <v>-170.23395557359999</v>
      </c>
      <c r="F196" s="23">
        <v>-181.00941564368003</v>
      </c>
      <c r="G196" s="23"/>
      <c r="H196" s="16">
        <v>1.0001661116010245</v>
      </c>
      <c r="I196" s="17">
        <f t="shared" si="2"/>
        <v>3.4997093409090909</v>
      </c>
      <c r="J196" s="16" t="s">
        <v>152</v>
      </c>
      <c r="K196" s="19">
        <v>183</v>
      </c>
      <c r="L196" s="19" t="str" cm="1">
        <f t="array" ref="L196">_xlfn.IFS(AND(M196="Brahmaputra"), "Himalaya",   AND(C196&lt;95,D196&gt;32.5), "Central Tibet",   AND(C196&gt;95,D196&gt;36), "Northeast Tibet",   AND(M196="Mekong"), "Yunnan",   AND(M196="Yangtze",C196&gt;95,D196&lt;36), "Yunnan")</f>
        <v>Yunnan</v>
      </c>
      <c r="M196" s="26" t="s">
        <v>379</v>
      </c>
      <c r="N196" s="23">
        <v>2754</v>
      </c>
      <c r="O196" s="3" t="s">
        <v>270</v>
      </c>
      <c r="P196" s="22"/>
      <c r="Q196" s="13"/>
      <c r="R196" s="13"/>
      <c r="T196" s="3"/>
      <c r="U196" s="18"/>
    </row>
    <row r="197" spans="1:21">
      <c r="A197" s="3" t="s">
        <v>406</v>
      </c>
      <c r="B197" s="5" t="s">
        <v>253</v>
      </c>
      <c r="C197" s="22">
        <v>101.334</v>
      </c>
      <c r="D197" s="22">
        <v>27.498699999999999</v>
      </c>
      <c r="E197" s="23">
        <v>-174.79274261749003</v>
      </c>
      <c r="F197" s="23">
        <v>-194.73995024329</v>
      </c>
      <c r="G197" s="23">
        <v>-184.50689505787</v>
      </c>
      <c r="H197" s="16">
        <v>2.0003322232020495</v>
      </c>
      <c r="I197" s="17">
        <f t="shared" si="2"/>
        <v>2.4746682071387207</v>
      </c>
      <c r="J197" s="16" t="s">
        <v>152</v>
      </c>
      <c r="K197" s="19">
        <v>184</v>
      </c>
      <c r="L197" s="19" t="str" cm="1">
        <f t="array" ref="L197">_xlfn.IFS(AND(M197="Brahmaputra"), "Himalaya",   AND(C197&lt;95,D197&gt;32.5), "Central Tibet",   AND(C197&gt;95,D197&gt;36), "Northeast Tibet",   AND(M197="Mekong"), "Yunnan",   AND(M197="Yangtze",C197&gt;95,D197&lt;36), "Yunnan")</f>
        <v>Yunnan</v>
      </c>
      <c r="M197" s="26" t="s">
        <v>379</v>
      </c>
      <c r="N197" s="23">
        <v>2233</v>
      </c>
      <c r="O197" s="3" t="s">
        <v>270</v>
      </c>
      <c r="P197" s="22"/>
      <c r="Q197" s="13"/>
      <c r="R197" s="13"/>
      <c r="T197" s="3"/>
      <c r="U197" s="18"/>
    </row>
    <row r="198" spans="1:21">
      <c r="A198" s="3" t="s">
        <v>406</v>
      </c>
      <c r="B198" s="5" t="s">
        <v>254</v>
      </c>
      <c r="C198" s="22">
        <v>100.9693</v>
      </c>
      <c r="D198" s="22">
        <v>27.644413329999999</v>
      </c>
      <c r="E198" s="23">
        <v>-182.5</v>
      </c>
      <c r="F198" s="23">
        <v>-185.5</v>
      </c>
      <c r="G198" s="23">
        <v>-192</v>
      </c>
      <c r="H198" s="16">
        <v>3.0004983348030736</v>
      </c>
      <c r="I198" s="17">
        <f t="shared" si="2"/>
        <v>2.0205581300593116</v>
      </c>
      <c r="J198" s="16" t="s">
        <v>152</v>
      </c>
      <c r="K198" s="19">
        <v>185</v>
      </c>
      <c r="L198" s="19" t="str" cm="1">
        <f t="array" ref="L198">_xlfn.IFS(AND(M198="Brahmaputra"), "Himalaya",   AND(C198&lt;95,D198&gt;32.5), "Central Tibet",   AND(C198&gt;95,D198&gt;36), "Northeast Tibet",   AND(M198="Mekong"), "Yunnan",   AND(M198="Yangtze",C198&gt;95,D198&lt;36), "Yunnan")</f>
        <v>Yunnan</v>
      </c>
      <c r="M198" s="26" t="s">
        <v>379</v>
      </c>
      <c r="N198" s="23">
        <v>2362</v>
      </c>
      <c r="O198" s="3" t="s">
        <v>270</v>
      </c>
      <c r="P198" s="22"/>
      <c r="Q198" s="13"/>
      <c r="R198" s="13"/>
      <c r="T198" s="3"/>
      <c r="U198" s="18"/>
    </row>
    <row r="199" spans="1:21">
      <c r="A199" s="3" t="s">
        <v>406</v>
      </c>
      <c r="B199" s="5" t="s">
        <v>255</v>
      </c>
      <c r="C199" s="22">
        <v>100.7687</v>
      </c>
      <c r="D199" s="22">
        <v>27.743300000000001</v>
      </c>
      <c r="E199" s="23">
        <v>-171.53373377286002</v>
      </c>
      <c r="F199" s="23">
        <v>-205.34732643032669</v>
      </c>
      <c r="G199" s="23">
        <v>-170</v>
      </c>
      <c r="H199" s="16">
        <v>3.0004983348030736</v>
      </c>
      <c r="I199" s="17">
        <f t="shared" si="2"/>
        <v>2.0205581300593116</v>
      </c>
      <c r="J199" s="16" t="s">
        <v>152</v>
      </c>
      <c r="K199" s="19">
        <v>186</v>
      </c>
      <c r="L199" s="19" t="str" cm="1">
        <f t="array" ref="L199">_xlfn.IFS(AND(M199="Brahmaputra"), "Himalaya",   AND(C199&lt;95,D199&gt;32.5), "Central Tibet",   AND(C199&gt;95,D199&gt;36), "Northeast Tibet",   AND(M199="Mekong"), "Yunnan",   AND(M199="Yangtze",C199&gt;95,D199&lt;36), "Yunnan")</f>
        <v>Yunnan</v>
      </c>
      <c r="M199" s="26" t="s">
        <v>379</v>
      </c>
      <c r="N199" s="23">
        <v>2764</v>
      </c>
      <c r="O199" s="3" t="s">
        <v>270</v>
      </c>
      <c r="P199" s="22"/>
      <c r="Q199" s="13"/>
      <c r="R199" s="13"/>
      <c r="T199" s="3"/>
      <c r="U199" s="18"/>
    </row>
    <row r="200" spans="1:21">
      <c r="A200" s="3" t="s">
        <v>406</v>
      </c>
      <c r="B200" s="5" t="s">
        <v>256</v>
      </c>
      <c r="C200" s="22">
        <v>100.8164</v>
      </c>
      <c r="D200" s="22">
        <v>27.632300000000001</v>
      </c>
      <c r="E200" s="23">
        <v>-190</v>
      </c>
      <c r="F200" s="23">
        <v>-191</v>
      </c>
      <c r="G200" s="23"/>
      <c r="H200" s="16">
        <v>2.0003322232020495</v>
      </c>
      <c r="I200" s="17">
        <f t="shared" si="2"/>
        <v>2.4746682071387207</v>
      </c>
      <c r="J200" s="16" t="s">
        <v>152</v>
      </c>
      <c r="K200" s="19">
        <v>187</v>
      </c>
      <c r="L200" s="19" t="str" cm="1">
        <f t="array" ref="L200">_xlfn.IFS(AND(M200="Brahmaputra"), "Himalaya",   AND(C200&lt;95,D200&gt;32.5), "Central Tibet",   AND(C200&gt;95,D200&gt;36), "Northeast Tibet",   AND(M200="Mekong"), "Yunnan",   AND(M200="Yangtze",C200&gt;95,D200&lt;36), "Yunnan")</f>
        <v>Yunnan</v>
      </c>
      <c r="M200" s="26" t="s">
        <v>379</v>
      </c>
      <c r="N200" s="23">
        <v>3340</v>
      </c>
      <c r="O200" s="3" t="s">
        <v>270</v>
      </c>
      <c r="P200" s="22"/>
      <c r="Q200" s="13"/>
      <c r="R200" s="13"/>
      <c r="T200" s="3"/>
      <c r="U200" s="18"/>
    </row>
    <row r="201" spans="1:21">
      <c r="A201" s="3" t="s">
        <v>406</v>
      </c>
      <c r="B201" s="5" t="s">
        <v>257</v>
      </c>
      <c r="C201" s="22">
        <v>100.8425</v>
      </c>
      <c r="D201" s="22">
        <v>27.399000000000001</v>
      </c>
      <c r="E201" s="23">
        <v>-148.72231943285999</v>
      </c>
      <c r="F201" s="23">
        <v>-169.21904273908001</v>
      </c>
      <c r="G201" s="23">
        <v>-185.04840374416</v>
      </c>
      <c r="H201" s="16">
        <v>2.0003322232020495</v>
      </c>
      <c r="I201" s="17">
        <f t="shared" si="2"/>
        <v>2.4746682071387207</v>
      </c>
      <c r="J201" s="16" t="s">
        <v>152</v>
      </c>
      <c r="K201" s="19">
        <v>188</v>
      </c>
      <c r="L201" s="19" t="str" cm="1">
        <f t="array" ref="L201">_xlfn.IFS(AND(M201="Brahmaputra"), "Himalaya",   AND(C201&lt;95,D201&gt;32.5), "Central Tibet",   AND(C201&gt;95,D201&gt;36), "Northeast Tibet",   AND(M201="Mekong"), "Yunnan",   AND(M201="Yangtze",C201&gt;95,D201&lt;36), "Yunnan")</f>
        <v>Yunnan</v>
      </c>
      <c r="M201" s="26" t="s">
        <v>379</v>
      </c>
      <c r="N201" s="23">
        <v>2538</v>
      </c>
      <c r="O201" s="3" t="s">
        <v>270</v>
      </c>
      <c r="P201" s="22"/>
      <c r="Q201" s="13"/>
      <c r="R201" s="13"/>
      <c r="T201" s="3"/>
      <c r="U201" s="18"/>
    </row>
    <row r="202" spans="1:21">
      <c r="A202" s="3" t="s">
        <v>406</v>
      </c>
      <c r="B202" s="5" t="s">
        <v>258</v>
      </c>
      <c r="C202" s="22">
        <v>100.6678</v>
      </c>
      <c r="D202" s="22">
        <v>27.140899999999998</v>
      </c>
      <c r="E202" s="23">
        <v>-201.17073853242002</v>
      </c>
      <c r="F202" s="23">
        <v>-215.01118251432001</v>
      </c>
      <c r="G202" s="23">
        <v>-199.94670773478003</v>
      </c>
      <c r="H202" s="16">
        <v>1.0001661116010245</v>
      </c>
      <c r="I202" s="17">
        <f t="shared" si="2"/>
        <v>3.4997093409090909</v>
      </c>
      <c r="J202" s="16" t="s">
        <v>152</v>
      </c>
      <c r="K202" s="19">
        <v>189</v>
      </c>
      <c r="L202" s="19" t="str" cm="1">
        <f t="array" ref="L202">_xlfn.IFS(AND(M202="Brahmaputra"), "Himalaya",   AND(C202&lt;95,D202&gt;32.5), "Central Tibet",   AND(C202&gt;95,D202&gt;36), "Northeast Tibet",   AND(M202="Mekong"), "Yunnan",   AND(M202="Yangtze",C202&gt;95,D202&lt;36), "Yunnan")</f>
        <v>Yunnan</v>
      </c>
      <c r="M202" s="26" t="s">
        <v>379</v>
      </c>
      <c r="N202" s="23">
        <v>3075</v>
      </c>
      <c r="O202" s="3" t="s">
        <v>270</v>
      </c>
      <c r="P202" s="22"/>
      <c r="Q202" s="13"/>
      <c r="R202" s="13"/>
      <c r="T202" s="3"/>
      <c r="U202" s="18"/>
    </row>
    <row r="203" spans="1:21">
      <c r="A203" s="3" t="s">
        <v>406</v>
      </c>
      <c r="B203" s="5" t="s">
        <v>259</v>
      </c>
      <c r="C203" s="22">
        <v>100.0371</v>
      </c>
      <c r="D203" s="22">
        <v>26.863700000000001</v>
      </c>
      <c r="E203" s="23">
        <v>-149.97226040000001</v>
      </c>
      <c r="F203" s="23">
        <v>-188.51044379999999</v>
      </c>
      <c r="G203" s="23">
        <v>-197.75812160000001</v>
      </c>
      <c r="H203" s="16">
        <v>1.0001661116010245</v>
      </c>
      <c r="I203" s="17">
        <f t="shared" si="2"/>
        <v>3.4997093409090909</v>
      </c>
      <c r="J203" s="16" t="s">
        <v>152</v>
      </c>
      <c r="K203" s="19">
        <v>190</v>
      </c>
      <c r="L203" s="19" t="str" cm="1">
        <f t="array" ref="L203">_xlfn.IFS(AND(M203="Brahmaputra"), "Himalaya",   AND(C203&lt;95,D203&gt;32.5), "Central Tibet",   AND(C203&gt;95,D203&gt;36), "Northeast Tibet",   AND(M203="Mekong"), "Yunnan",   AND(M203="Yangtze",C203&gt;95,D203&lt;36), "Yunnan")</f>
        <v>Yunnan</v>
      </c>
      <c r="M203" s="26" t="s">
        <v>379</v>
      </c>
      <c r="N203" s="23">
        <v>2500</v>
      </c>
      <c r="O203" s="3" t="s">
        <v>270</v>
      </c>
      <c r="P203" s="22"/>
      <c r="Q203" s="13"/>
      <c r="R203" s="13"/>
      <c r="T203" s="3"/>
      <c r="U203" s="18"/>
    </row>
    <row r="204" spans="1:21">
      <c r="A204" s="3" t="s">
        <v>406</v>
      </c>
      <c r="B204" s="5" t="s">
        <v>260</v>
      </c>
      <c r="C204" s="22">
        <v>100.00109999999999</v>
      </c>
      <c r="D204" s="22">
        <v>26.882000000000001</v>
      </c>
      <c r="E204" s="23">
        <v>-202.6531790051954</v>
      </c>
      <c r="F204" s="23">
        <v>-195.71557279999999</v>
      </c>
      <c r="G204" s="23">
        <v>-202.71336680000002</v>
      </c>
      <c r="H204" s="16">
        <v>2.0003322232020495</v>
      </c>
      <c r="I204" s="17">
        <f t="shared" si="2"/>
        <v>2.4746682071387207</v>
      </c>
      <c r="J204" s="16" t="s">
        <v>152</v>
      </c>
      <c r="K204" s="19">
        <v>191</v>
      </c>
      <c r="L204" s="19" t="str" cm="1">
        <f t="array" ref="L204">_xlfn.IFS(AND(M204="Brahmaputra"), "Himalaya",   AND(C204&lt;95,D204&gt;32.5), "Central Tibet",   AND(C204&gt;95,D204&gt;36), "Northeast Tibet",   AND(M204="Mekong"), "Yunnan",   AND(M204="Yangtze",C204&gt;95,D204&lt;36), "Yunnan")</f>
        <v>Yunnan</v>
      </c>
      <c r="M204" s="26" t="s">
        <v>379</v>
      </c>
      <c r="N204" s="23">
        <v>1881</v>
      </c>
      <c r="O204" s="3" t="s">
        <v>270</v>
      </c>
      <c r="P204" s="22"/>
      <c r="Q204" s="13"/>
      <c r="R204" s="13"/>
      <c r="T204" s="3"/>
      <c r="U204" s="18"/>
    </row>
    <row r="205" spans="1:21">
      <c r="A205" s="3" t="s">
        <v>371</v>
      </c>
      <c r="B205" s="5" t="s">
        <v>261</v>
      </c>
      <c r="C205" s="22" t="s">
        <v>269</v>
      </c>
      <c r="D205" s="22" t="s">
        <v>269</v>
      </c>
      <c r="E205" s="23">
        <v>-167.0746176415</v>
      </c>
      <c r="F205" s="23">
        <v>-178.47334192627</v>
      </c>
      <c r="G205" s="23">
        <v>-184.11939128677</v>
      </c>
      <c r="H205" s="16">
        <v>2.0003322232020495</v>
      </c>
      <c r="I205" s="17">
        <f t="shared" si="2"/>
        <v>2.4746682071387207</v>
      </c>
      <c r="J205" s="16" t="s">
        <v>152</v>
      </c>
      <c r="K205" s="19">
        <v>192</v>
      </c>
      <c r="L205" s="19"/>
      <c r="M205" s="26" t="s">
        <v>381</v>
      </c>
      <c r="N205" s="23">
        <v>2600</v>
      </c>
      <c r="O205" s="3" t="s">
        <v>270</v>
      </c>
      <c r="P205" s="22"/>
      <c r="Q205" s="13"/>
      <c r="R205" s="13"/>
      <c r="T205" s="3"/>
      <c r="U205" s="18"/>
    </row>
    <row r="206" spans="1:21">
      <c r="A206" s="3" t="s">
        <v>406</v>
      </c>
      <c r="B206" s="5" t="s">
        <v>262</v>
      </c>
      <c r="C206" s="22">
        <v>99.556200000000004</v>
      </c>
      <c r="D206" s="22">
        <v>27.073</v>
      </c>
      <c r="E206" s="23">
        <v>-177.97383061278106</v>
      </c>
      <c r="F206" s="23">
        <v>-190.17149999999998</v>
      </c>
      <c r="G206" s="23">
        <v>-195.184</v>
      </c>
      <c r="H206" s="16">
        <v>2.0003322232020495</v>
      </c>
      <c r="I206" s="17">
        <f t="shared" si="2"/>
        <v>2.4746682071387207</v>
      </c>
      <c r="J206" s="16" t="s">
        <v>152</v>
      </c>
      <c r="K206" s="19">
        <v>193</v>
      </c>
      <c r="L206" s="19" t="str" cm="1">
        <f t="array" ref="L206">_xlfn.IFS(AND(M206="Brahmaputra"), "Himalaya",   AND(C206&lt;95,D206&gt;32.5), "Central Tibet",   AND(C206&gt;95,D206&gt;36), "Northeast Tibet",   AND(M206="Mekong"), "Yunnan",   AND(M206="Yangtze",C206&gt;95,D206&lt;36), "Yunnan")</f>
        <v>Yunnan</v>
      </c>
      <c r="M206" s="26" t="s">
        <v>379</v>
      </c>
      <c r="N206" s="23">
        <v>2549</v>
      </c>
      <c r="O206" s="3" t="s">
        <v>270</v>
      </c>
      <c r="P206" s="22"/>
      <c r="Q206" s="13"/>
      <c r="R206" s="13"/>
      <c r="T206" s="3"/>
      <c r="U206" s="18"/>
    </row>
    <row r="207" spans="1:21">
      <c r="A207" s="3" t="s">
        <v>406</v>
      </c>
      <c r="B207" s="5" t="s">
        <v>263</v>
      </c>
      <c r="C207" s="22">
        <v>99.932000000000002</v>
      </c>
      <c r="D207" s="22">
        <v>26.667000000000002</v>
      </c>
      <c r="E207" s="23">
        <v>-158.78187148688002</v>
      </c>
      <c r="F207" s="23">
        <v>-167.98344711007996</v>
      </c>
      <c r="G207" s="23">
        <v>-172.96056450416</v>
      </c>
      <c r="H207" s="16">
        <v>1.0001661116010245</v>
      </c>
      <c r="I207" s="17">
        <f t="shared" ref="I207:I212" si="3">3.5/SQRT(H207)</f>
        <v>3.4997093409090909</v>
      </c>
      <c r="J207" s="16" t="s">
        <v>152</v>
      </c>
      <c r="K207" s="19">
        <v>194</v>
      </c>
      <c r="L207" s="19" t="str" cm="1">
        <f t="array" ref="L207">_xlfn.IFS(AND(M207="Brahmaputra"), "Himalaya",   AND(C207&lt;95,D207&gt;32.5), "Central Tibet",   AND(C207&gt;95,D207&gt;36), "Northeast Tibet",   AND(M207="Mekong"), "Yunnan",   AND(M207="Yangtze",C207&gt;95,D207&lt;36), "Yunnan")</f>
        <v>Yunnan</v>
      </c>
      <c r="M207" s="26" t="s">
        <v>382</v>
      </c>
      <c r="N207" s="23">
        <v>2459</v>
      </c>
      <c r="O207" s="3" t="s">
        <v>270</v>
      </c>
      <c r="P207" s="22"/>
      <c r="Q207" s="13"/>
      <c r="R207" s="13"/>
      <c r="T207" s="3"/>
      <c r="U207" s="18"/>
    </row>
    <row r="208" spans="1:21">
      <c r="A208" s="3" t="s">
        <v>406</v>
      </c>
      <c r="B208" s="5" t="s">
        <v>264</v>
      </c>
      <c r="C208" s="22">
        <v>99.846500000000006</v>
      </c>
      <c r="D208" s="22">
        <v>26.594999999999999</v>
      </c>
      <c r="E208" s="23">
        <v>-178.39980903823997</v>
      </c>
      <c r="F208" s="23">
        <v>-183.32450514992001</v>
      </c>
      <c r="G208" s="23"/>
      <c r="H208" s="16">
        <v>1.0001661116010245</v>
      </c>
      <c r="I208" s="17">
        <f t="shared" si="3"/>
        <v>3.4997093409090909</v>
      </c>
      <c r="J208" s="16" t="s">
        <v>152</v>
      </c>
      <c r="K208" s="19">
        <v>195</v>
      </c>
      <c r="L208" s="19" t="str" cm="1">
        <f t="array" ref="L208">_xlfn.IFS(AND(M208="Brahmaputra"), "Himalaya",   AND(C208&lt;95,D208&gt;32.5), "Central Tibet",   AND(C208&gt;95,D208&gt;36), "Northeast Tibet",   AND(M208="Mekong"), "Yunnan",   AND(M208="Yangtze",C208&gt;95,D208&lt;36), "Yunnan")</f>
        <v>Yunnan</v>
      </c>
      <c r="M208" s="26" t="s">
        <v>382</v>
      </c>
      <c r="N208" s="23">
        <v>2463</v>
      </c>
      <c r="O208" s="3" t="s">
        <v>270</v>
      </c>
      <c r="P208" s="22"/>
      <c r="Q208" s="13"/>
      <c r="R208" s="13"/>
      <c r="T208" s="3"/>
      <c r="U208" s="18"/>
    </row>
    <row r="209" spans="1:21">
      <c r="A209" s="3" t="s">
        <v>406</v>
      </c>
      <c r="B209" s="5" t="s">
        <v>265</v>
      </c>
      <c r="C209" s="22">
        <v>99.777100000000004</v>
      </c>
      <c r="D209" s="22">
        <v>26.524000000000001</v>
      </c>
      <c r="E209" s="23">
        <v>-162</v>
      </c>
      <c r="F209" s="23">
        <v>-166</v>
      </c>
      <c r="G209" s="23">
        <v>-168</v>
      </c>
      <c r="H209" s="16">
        <v>2.0003322232020495</v>
      </c>
      <c r="I209" s="17">
        <f t="shared" si="3"/>
        <v>2.4746682071387207</v>
      </c>
      <c r="J209" s="16" t="s">
        <v>152</v>
      </c>
      <c r="K209" s="19">
        <v>196</v>
      </c>
      <c r="L209" s="19" t="str" cm="1">
        <f t="array" ref="L209">_xlfn.IFS(AND(M209="Brahmaputra"), "Himalaya",   AND(C209&lt;95,D209&gt;32.5), "Central Tibet",   AND(C209&gt;95,D209&gt;36), "Northeast Tibet",   AND(M209="Mekong"), "Yunnan",   AND(M209="Yangtze",C209&gt;95,D209&lt;36), "Yunnan")</f>
        <v>Yunnan</v>
      </c>
      <c r="M209" s="26" t="s">
        <v>382</v>
      </c>
      <c r="N209" s="23">
        <v>2357</v>
      </c>
      <c r="O209" s="3" t="s">
        <v>270</v>
      </c>
      <c r="P209" s="22"/>
      <c r="Q209" s="13"/>
      <c r="R209" s="13"/>
      <c r="T209" s="3"/>
      <c r="U209" s="18"/>
    </row>
    <row r="210" spans="1:21">
      <c r="A210" s="3" t="s">
        <v>406</v>
      </c>
      <c r="B210" s="5" t="s">
        <v>266</v>
      </c>
      <c r="C210" s="22">
        <v>99.698800000000006</v>
      </c>
      <c r="D210" s="22">
        <v>26.486000000000001</v>
      </c>
      <c r="E210" s="23">
        <v>-209.37582557367455</v>
      </c>
      <c r="F210" s="23">
        <v>-212.8235</v>
      </c>
      <c r="G210" s="23">
        <v>-216.69799999999998</v>
      </c>
      <c r="H210" s="16">
        <v>2.0003322232020495</v>
      </c>
      <c r="I210" s="17">
        <f t="shared" si="3"/>
        <v>2.4746682071387207</v>
      </c>
      <c r="J210" s="16" t="s">
        <v>152</v>
      </c>
      <c r="K210" s="19">
        <v>197</v>
      </c>
      <c r="L210" s="19" t="str" cm="1">
        <f t="array" ref="L210">_xlfn.IFS(AND(M210="Brahmaputra"), "Himalaya",   AND(C210&lt;95,D210&gt;32.5), "Central Tibet",   AND(C210&gt;95,D210&gt;36), "Northeast Tibet",   AND(M210="Mekong"), "Yunnan",   AND(M210="Yangtze",C210&gt;95,D210&lt;36), "Yunnan")</f>
        <v>Yunnan</v>
      </c>
      <c r="M210" s="26" t="s">
        <v>382</v>
      </c>
      <c r="N210" s="23">
        <v>2635</v>
      </c>
      <c r="O210" s="3" t="s">
        <v>270</v>
      </c>
      <c r="P210" s="22"/>
      <c r="Q210" s="13"/>
      <c r="R210" s="13"/>
      <c r="T210" s="3"/>
      <c r="U210" s="18"/>
    </row>
    <row r="211" spans="1:21">
      <c r="A211" s="3" t="s">
        <v>406</v>
      </c>
      <c r="B211" s="5" t="s">
        <v>267</v>
      </c>
      <c r="C211" s="22">
        <v>99.335099999999997</v>
      </c>
      <c r="D211" s="22">
        <v>25.937000000000001</v>
      </c>
      <c r="E211" s="23">
        <v>-174</v>
      </c>
      <c r="F211" s="23">
        <v>-172</v>
      </c>
      <c r="G211" s="23">
        <v>-177</v>
      </c>
      <c r="H211" s="16">
        <v>1.0001661116010245</v>
      </c>
      <c r="I211" s="17">
        <f t="shared" si="3"/>
        <v>3.4997093409090909</v>
      </c>
      <c r="J211" s="16" t="s">
        <v>152</v>
      </c>
      <c r="K211" s="19">
        <v>198</v>
      </c>
      <c r="L211" s="19" t="str" cm="1">
        <f t="array" ref="L211">_xlfn.IFS(AND(M211="Brahmaputra"), "Himalaya",   AND(C211&lt;95,D211&gt;32.5), "Central Tibet",   AND(C211&gt;95,D211&gt;36), "Northeast Tibet",   AND(M211="Mekong"), "Yunnan",   AND(M211="Yangtze",C211&gt;95,D211&lt;36), "Yunnan")</f>
        <v>Yunnan</v>
      </c>
      <c r="M211" s="26" t="s">
        <v>382</v>
      </c>
      <c r="N211" s="23">
        <v>1745</v>
      </c>
      <c r="O211" s="3" t="s">
        <v>270</v>
      </c>
      <c r="P211" s="22"/>
      <c r="Q211" s="13"/>
      <c r="R211" s="13"/>
      <c r="T211" s="3"/>
      <c r="U211" s="18"/>
    </row>
    <row r="212" spans="1:21">
      <c r="A212" s="3" t="s">
        <v>406</v>
      </c>
      <c r="B212" s="24" t="s">
        <v>268</v>
      </c>
      <c r="C212" s="22">
        <v>100.0586</v>
      </c>
      <c r="D212" s="22">
        <v>25.597000000000001</v>
      </c>
      <c r="E212" s="23">
        <v>-146.99115154064</v>
      </c>
      <c r="F212" s="23">
        <v>-160.82847641696</v>
      </c>
      <c r="G212" s="23">
        <v>-163.43948921839998</v>
      </c>
      <c r="H212" s="16">
        <v>1.0001661116010245</v>
      </c>
      <c r="I212" s="17">
        <f t="shared" si="3"/>
        <v>3.4997093409090909</v>
      </c>
      <c r="J212" s="16" t="s">
        <v>152</v>
      </c>
      <c r="K212" s="19">
        <v>199</v>
      </c>
      <c r="L212" s="19" t="str" cm="1">
        <f t="array" ref="L212">_xlfn.IFS(AND(M212="Brahmaputra"), "Himalaya",   AND(C212&lt;95,D212&gt;32.5), "Central Tibet",   AND(C212&gt;95,D212&gt;36), "Northeast Tibet",   AND(M212="Mekong"), "Yunnan",   AND(M212="Yangtze",C212&gt;95,D212&lt;36), "Yunnan")</f>
        <v>Yunnan</v>
      </c>
      <c r="M212" s="26" t="s">
        <v>382</v>
      </c>
      <c r="N212" s="23">
        <v>1265</v>
      </c>
      <c r="O212" s="3" t="s">
        <v>270</v>
      </c>
      <c r="P212" s="22"/>
      <c r="Q212" s="13"/>
      <c r="R212" s="13"/>
      <c r="T212" s="3"/>
      <c r="U212" s="18"/>
    </row>
    <row r="213" spans="1:21">
      <c r="F213" s="28"/>
      <c r="K213" s="23"/>
      <c r="L213" s="23"/>
      <c r="M213" s="23"/>
      <c r="N213" s="22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C01A-1419-5948-9C8A-AA2A356EE6BC}">
  <dimension ref="A1:H117"/>
  <sheetViews>
    <sheetView zoomScale="99" workbookViewId="0">
      <selection activeCell="H2" sqref="H2:H3"/>
    </sheetView>
  </sheetViews>
  <sheetFormatPr baseColWidth="10" defaultRowHeight="13"/>
  <cols>
    <col min="1" max="1" width="48.59765625" bestFit="1" customWidth="1"/>
    <col min="2" max="2" width="12.59765625" bestFit="1" customWidth="1"/>
    <col min="3" max="4" width="10.59765625" bestFit="1" customWidth="1"/>
    <col min="5" max="5" width="11.59765625" customWidth="1"/>
    <col min="6" max="6" width="15.3984375" bestFit="1" customWidth="1"/>
    <col min="7" max="7" width="17" bestFit="1" customWidth="1"/>
  </cols>
  <sheetData>
    <row r="1" spans="1:8" ht="16">
      <c r="A1" s="29" t="s">
        <v>390</v>
      </c>
      <c r="B1" s="30"/>
      <c r="C1" s="30"/>
      <c r="E1" s="30" t="s">
        <v>398</v>
      </c>
      <c r="F1" s="30"/>
      <c r="G1" s="30"/>
    </row>
    <row r="2" spans="1:8" ht="16">
      <c r="A2" s="31" t="s">
        <v>391</v>
      </c>
      <c r="B2" s="31" t="s">
        <v>358</v>
      </c>
      <c r="C2" s="31" t="s">
        <v>359</v>
      </c>
      <c r="D2" s="32" t="s">
        <v>392</v>
      </c>
      <c r="E2" s="33" t="s">
        <v>396</v>
      </c>
      <c r="F2" s="32" t="s">
        <v>388</v>
      </c>
      <c r="G2" s="29" t="s">
        <v>393</v>
      </c>
      <c r="H2" s="29" t="s">
        <v>399</v>
      </c>
    </row>
    <row r="3" spans="1:8" ht="16">
      <c r="A3" s="26" t="s">
        <v>70</v>
      </c>
      <c r="B3" s="26">
        <v>97.034000000000006</v>
      </c>
      <c r="C3" s="26">
        <v>28.468</v>
      </c>
      <c r="D3" s="34">
        <v>-180</v>
      </c>
      <c r="E3" s="35">
        <v>3</v>
      </c>
      <c r="F3" s="36">
        <v>2</v>
      </c>
      <c r="G3" s="37">
        <f>(E3^2)*F3</f>
        <v>18</v>
      </c>
      <c r="H3" s="30" t="s">
        <v>400</v>
      </c>
    </row>
    <row r="4" spans="1:8" ht="16">
      <c r="A4" s="26" t="s">
        <v>71</v>
      </c>
      <c r="B4" s="26">
        <v>97.078999999999994</v>
      </c>
      <c r="C4" s="26">
        <v>28.510999999999999</v>
      </c>
      <c r="D4" s="34">
        <v>-186</v>
      </c>
      <c r="E4" s="35">
        <v>3</v>
      </c>
      <c r="F4" s="36">
        <v>2</v>
      </c>
      <c r="G4" s="37">
        <f t="shared" ref="G4:G67" si="0">(E4^2)*F4</f>
        <v>18</v>
      </c>
      <c r="H4" s="26"/>
    </row>
    <row r="5" spans="1:8" ht="16">
      <c r="A5" s="26" t="s">
        <v>72</v>
      </c>
      <c r="B5" s="26">
        <v>97.091999999999999</v>
      </c>
      <c r="C5" s="26">
        <v>28.573</v>
      </c>
      <c r="D5" s="34">
        <v>-171</v>
      </c>
      <c r="E5" s="35">
        <v>3</v>
      </c>
      <c r="F5" s="36">
        <v>2</v>
      </c>
      <c r="G5" s="37">
        <f t="shared" si="0"/>
        <v>18</v>
      </c>
      <c r="H5" s="26"/>
    </row>
    <row r="6" spans="1:8" ht="16">
      <c r="A6" s="26" t="s">
        <v>73</v>
      </c>
      <c r="B6" s="26">
        <v>97.207999999999998</v>
      </c>
      <c r="C6" s="26">
        <v>28.600999999999999</v>
      </c>
      <c r="D6" s="34">
        <v>-181</v>
      </c>
      <c r="E6" s="35">
        <v>3</v>
      </c>
      <c r="F6" s="36">
        <v>2</v>
      </c>
      <c r="G6" s="37">
        <f t="shared" si="0"/>
        <v>18</v>
      </c>
      <c r="H6" s="26"/>
    </row>
    <row r="7" spans="1:8" ht="16">
      <c r="A7" s="26" t="s">
        <v>74</v>
      </c>
      <c r="B7" s="26">
        <v>97.344999999999999</v>
      </c>
      <c r="C7" s="26">
        <v>28.62</v>
      </c>
      <c r="D7" s="34">
        <v>-181</v>
      </c>
      <c r="E7" s="35">
        <v>3</v>
      </c>
      <c r="F7" s="36">
        <v>2</v>
      </c>
      <c r="G7" s="37">
        <f t="shared" si="0"/>
        <v>18</v>
      </c>
      <c r="H7" s="26"/>
    </row>
    <row r="8" spans="1:8" ht="16">
      <c r="A8" s="26" t="s">
        <v>75</v>
      </c>
      <c r="B8" s="26">
        <v>97.49</v>
      </c>
      <c r="C8" s="26">
        <v>28.838000000000001</v>
      </c>
      <c r="D8" s="34">
        <v>-196</v>
      </c>
      <c r="E8" s="35">
        <v>3</v>
      </c>
      <c r="F8" s="36">
        <v>2</v>
      </c>
      <c r="G8" s="37">
        <f t="shared" si="0"/>
        <v>18</v>
      </c>
      <c r="H8" s="26"/>
    </row>
    <row r="9" spans="1:8" ht="16">
      <c r="A9" s="26" t="s">
        <v>76</v>
      </c>
      <c r="B9" s="26">
        <v>97.426000000000002</v>
      </c>
      <c r="C9" s="26">
        <v>28.943999999999999</v>
      </c>
      <c r="D9" s="34">
        <v>-198</v>
      </c>
      <c r="E9" s="35">
        <v>3</v>
      </c>
      <c r="F9" s="36">
        <v>2</v>
      </c>
      <c r="G9" s="37">
        <f t="shared" si="0"/>
        <v>18</v>
      </c>
      <c r="H9" s="26"/>
    </row>
    <row r="10" spans="1:8" ht="16">
      <c r="A10" s="26" t="s">
        <v>77</v>
      </c>
      <c r="B10" s="26">
        <v>97.402000000000001</v>
      </c>
      <c r="C10" s="26">
        <v>28.991</v>
      </c>
      <c r="D10" s="34">
        <v>-204</v>
      </c>
      <c r="E10" s="35">
        <v>3</v>
      </c>
      <c r="F10" s="36">
        <v>2</v>
      </c>
      <c r="G10" s="37">
        <f t="shared" si="0"/>
        <v>18</v>
      </c>
      <c r="H10" s="26"/>
    </row>
    <row r="11" spans="1:8" ht="16">
      <c r="A11" s="26" t="s">
        <v>78</v>
      </c>
      <c r="B11" s="26">
        <v>97.361999999999995</v>
      </c>
      <c r="C11" s="26">
        <v>29.038</v>
      </c>
      <c r="D11" s="34">
        <v>-179</v>
      </c>
      <c r="E11" s="35">
        <v>3</v>
      </c>
      <c r="F11" s="36">
        <v>2</v>
      </c>
      <c r="G11" s="37">
        <f t="shared" si="0"/>
        <v>18</v>
      </c>
      <c r="H11" s="26"/>
    </row>
    <row r="12" spans="1:8" ht="16">
      <c r="A12" s="26" t="s">
        <v>79</v>
      </c>
      <c r="B12" s="26">
        <v>97.275999999999996</v>
      </c>
      <c r="C12" s="26">
        <v>29.094999999999999</v>
      </c>
      <c r="D12" s="34">
        <v>-214</v>
      </c>
      <c r="E12" s="35">
        <v>3</v>
      </c>
      <c r="F12" s="36">
        <v>2</v>
      </c>
      <c r="G12" s="37">
        <f t="shared" si="0"/>
        <v>18</v>
      </c>
      <c r="H12" s="26"/>
    </row>
    <row r="13" spans="1:8" ht="16">
      <c r="A13" s="26" t="s">
        <v>80</v>
      </c>
      <c r="B13" s="26">
        <v>97.200999999999993</v>
      </c>
      <c r="C13" s="26">
        <v>29.170999999999999</v>
      </c>
      <c r="D13" s="34">
        <v>-209</v>
      </c>
      <c r="E13" s="35">
        <v>3</v>
      </c>
      <c r="F13" s="36">
        <v>2</v>
      </c>
      <c r="G13" s="37">
        <f t="shared" si="0"/>
        <v>18</v>
      </c>
      <c r="H13" s="26"/>
    </row>
    <row r="14" spans="1:8" ht="16">
      <c r="A14" s="26" t="s">
        <v>81</v>
      </c>
      <c r="B14" s="26">
        <v>97.171000000000006</v>
      </c>
      <c r="C14" s="26">
        <v>29.32</v>
      </c>
      <c r="D14" s="34">
        <v>-191</v>
      </c>
      <c r="E14" s="35">
        <v>3</v>
      </c>
      <c r="F14" s="36">
        <v>2</v>
      </c>
      <c r="G14" s="37">
        <f t="shared" si="0"/>
        <v>18</v>
      </c>
      <c r="H14" s="26"/>
    </row>
    <row r="15" spans="1:8" ht="16">
      <c r="A15" s="26" t="s">
        <v>82</v>
      </c>
      <c r="B15" s="26">
        <v>97.135000000000005</v>
      </c>
      <c r="C15" s="26">
        <v>29.327999999999999</v>
      </c>
      <c r="D15" s="34">
        <v>-195</v>
      </c>
      <c r="E15" s="35">
        <v>3</v>
      </c>
      <c r="F15" s="36">
        <v>2</v>
      </c>
      <c r="G15" s="37">
        <f t="shared" si="0"/>
        <v>18</v>
      </c>
      <c r="H15" s="26"/>
    </row>
    <row r="16" spans="1:8" ht="16">
      <c r="A16" s="26" t="s">
        <v>83</v>
      </c>
      <c r="B16" s="26">
        <v>97.072999999999993</v>
      </c>
      <c r="C16" s="26">
        <v>29.332999999999998</v>
      </c>
      <c r="D16" s="34">
        <v>-239</v>
      </c>
      <c r="E16" s="35">
        <v>3</v>
      </c>
      <c r="F16" s="36">
        <v>2</v>
      </c>
      <c r="G16" s="37">
        <f t="shared" si="0"/>
        <v>18</v>
      </c>
      <c r="H16" s="26"/>
    </row>
    <row r="17" spans="1:8" ht="16">
      <c r="A17" s="26" t="s">
        <v>84</v>
      </c>
      <c r="B17" s="26">
        <v>97.06</v>
      </c>
      <c r="C17" s="26">
        <v>29.335000000000001</v>
      </c>
      <c r="D17" s="34">
        <v>-223</v>
      </c>
      <c r="E17" s="35">
        <v>3</v>
      </c>
      <c r="F17" s="36">
        <v>2</v>
      </c>
      <c r="G17" s="37">
        <f t="shared" si="0"/>
        <v>18</v>
      </c>
      <c r="H17" s="26"/>
    </row>
    <row r="18" spans="1:8" ht="16">
      <c r="A18" s="26" t="s">
        <v>85</v>
      </c>
      <c r="B18" s="26">
        <v>97.055000000000007</v>
      </c>
      <c r="C18" s="26">
        <v>29.33</v>
      </c>
      <c r="D18" s="34">
        <v>-229</v>
      </c>
      <c r="E18" s="35">
        <v>3</v>
      </c>
      <c r="F18" s="36">
        <v>2</v>
      </c>
      <c r="G18" s="37">
        <f t="shared" si="0"/>
        <v>18</v>
      </c>
      <c r="H18" s="26"/>
    </row>
    <row r="19" spans="1:8" ht="16">
      <c r="A19" s="26" t="s">
        <v>85</v>
      </c>
      <c r="B19" s="26">
        <v>97.055000000000007</v>
      </c>
      <c r="C19" s="26">
        <v>29.33</v>
      </c>
      <c r="D19" s="34">
        <v>-224</v>
      </c>
      <c r="E19" s="35">
        <v>3</v>
      </c>
      <c r="F19" s="36">
        <v>2</v>
      </c>
      <c r="G19" s="37">
        <f t="shared" si="0"/>
        <v>18</v>
      </c>
      <c r="H19" s="26"/>
    </row>
    <row r="20" spans="1:8" ht="16">
      <c r="A20" s="26" t="s">
        <v>86</v>
      </c>
      <c r="B20" s="26">
        <v>97.04</v>
      </c>
      <c r="C20" s="26">
        <v>29.326000000000001</v>
      </c>
      <c r="D20" s="34">
        <v>-263</v>
      </c>
      <c r="E20" s="35">
        <v>3</v>
      </c>
      <c r="F20" s="36">
        <v>2</v>
      </c>
      <c r="G20" s="37">
        <f t="shared" si="0"/>
        <v>18</v>
      </c>
      <c r="H20" s="26"/>
    </row>
    <row r="21" spans="1:8" ht="16">
      <c r="A21" s="26" t="s">
        <v>87</v>
      </c>
      <c r="B21" s="26">
        <v>97.03</v>
      </c>
      <c r="C21" s="26">
        <v>29.318000000000001</v>
      </c>
      <c r="D21" s="34">
        <v>-254</v>
      </c>
      <c r="E21" s="35">
        <v>3</v>
      </c>
      <c r="F21" s="36">
        <v>2</v>
      </c>
      <c r="G21" s="37">
        <f t="shared" si="0"/>
        <v>18</v>
      </c>
      <c r="H21" s="26"/>
    </row>
    <row r="22" spans="1:8" ht="16">
      <c r="A22" s="26" t="s">
        <v>88</v>
      </c>
      <c r="B22" s="26">
        <v>96.995000000000005</v>
      </c>
      <c r="C22" s="26">
        <v>29.314</v>
      </c>
      <c r="D22" s="34">
        <v>-242</v>
      </c>
      <c r="E22" s="35">
        <v>3</v>
      </c>
      <c r="F22" s="36">
        <v>2</v>
      </c>
      <c r="G22" s="37">
        <f t="shared" si="0"/>
        <v>18</v>
      </c>
      <c r="H22" s="26"/>
    </row>
    <row r="23" spans="1:8" ht="16">
      <c r="A23" s="26" t="s">
        <v>89</v>
      </c>
      <c r="B23" s="26">
        <v>96.926000000000002</v>
      </c>
      <c r="C23" s="26">
        <v>29.341999999999999</v>
      </c>
      <c r="D23" s="34">
        <v>-216</v>
      </c>
      <c r="E23" s="35">
        <v>3</v>
      </c>
      <c r="F23" s="36">
        <v>2</v>
      </c>
      <c r="G23" s="37">
        <f t="shared" si="0"/>
        <v>18</v>
      </c>
      <c r="H23" s="26"/>
    </row>
    <row r="24" spans="1:8" ht="16">
      <c r="A24" s="26" t="s">
        <v>90</v>
      </c>
      <c r="B24" s="26">
        <v>96.852000000000004</v>
      </c>
      <c r="C24" s="26">
        <v>29.39</v>
      </c>
      <c r="D24" s="34">
        <v>-242</v>
      </c>
      <c r="E24" s="35">
        <v>3</v>
      </c>
      <c r="F24" s="36">
        <v>2</v>
      </c>
      <c r="G24" s="37">
        <f t="shared" si="0"/>
        <v>18</v>
      </c>
      <c r="H24" s="26"/>
    </row>
    <row r="25" spans="1:8" ht="16">
      <c r="A25" s="26" t="s">
        <v>91</v>
      </c>
      <c r="B25" s="26">
        <v>96.730999999999995</v>
      </c>
      <c r="C25" s="26">
        <v>29.501000000000001</v>
      </c>
      <c r="D25" s="34">
        <v>-215</v>
      </c>
      <c r="E25" s="35">
        <v>3</v>
      </c>
      <c r="F25" s="36">
        <v>2</v>
      </c>
      <c r="G25" s="37">
        <f t="shared" si="0"/>
        <v>18</v>
      </c>
      <c r="H25" s="26"/>
    </row>
    <row r="26" spans="1:8" ht="16">
      <c r="A26" s="26" t="s">
        <v>92</v>
      </c>
      <c r="B26" s="26">
        <v>96.652000000000001</v>
      </c>
      <c r="C26" s="26">
        <v>29.48</v>
      </c>
      <c r="D26" s="34">
        <v>-204</v>
      </c>
      <c r="E26" s="35">
        <v>3</v>
      </c>
      <c r="F26" s="36">
        <v>2</v>
      </c>
      <c r="G26" s="37">
        <f t="shared" si="0"/>
        <v>18</v>
      </c>
      <c r="H26" s="26"/>
    </row>
    <row r="27" spans="1:8" ht="16">
      <c r="A27" s="26" t="s">
        <v>93</v>
      </c>
      <c r="B27" s="26">
        <v>96.522999999999996</v>
      </c>
      <c r="C27" s="26">
        <v>29.533999999999999</v>
      </c>
      <c r="D27" s="34">
        <v>-197</v>
      </c>
      <c r="E27" s="35">
        <v>3</v>
      </c>
      <c r="F27" s="36">
        <v>2</v>
      </c>
      <c r="G27" s="37">
        <f t="shared" si="0"/>
        <v>18</v>
      </c>
      <c r="H27" s="26"/>
    </row>
    <row r="28" spans="1:8" ht="16">
      <c r="A28" s="26" t="s">
        <v>94</v>
      </c>
      <c r="B28" s="26">
        <v>96.5</v>
      </c>
      <c r="C28" s="26">
        <v>29.536000000000001</v>
      </c>
      <c r="D28" s="34">
        <v>-201</v>
      </c>
      <c r="E28" s="35">
        <v>3</v>
      </c>
      <c r="F28" s="36">
        <v>2</v>
      </c>
      <c r="G28" s="37">
        <f t="shared" si="0"/>
        <v>18</v>
      </c>
      <c r="H28" s="26"/>
    </row>
    <row r="29" spans="1:8" ht="16">
      <c r="A29" s="26" t="s">
        <v>94</v>
      </c>
      <c r="B29" s="26">
        <v>96.5</v>
      </c>
      <c r="C29" s="26">
        <v>29.536000000000001</v>
      </c>
      <c r="D29" s="34">
        <v>-202</v>
      </c>
      <c r="E29" s="35">
        <v>3</v>
      </c>
      <c r="F29" s="36">
        <v>2</v>
      </c>
      <c r="G29" s="37">
        <f t="shared" si="0"/>
        <v>18</v>
      </c>
      <c r="H29" s="26"/>
    </row>
    <row r="30" spans="1:8" ht="16">
      <c r="A30" s="26" t="s">
        <v>95</v>
      </c>
      <c r="B30" s="26">
        <v>96.39</v>
      </c>
      <c r="C30" s="26">
        <v>29.603999999999999</v>
      </c>
      <c r="D30" s="34">
        <v>-200</v>
      </c>
      <c r="E30" s="35">
        <v>3</v>
      </c>
      <c r="F30" s="36">
        <v>2</v>
      </c>
      <c r="G30" s="37">
        <f t="shared" si="0"/>
        <v>18</v>
      </c>
      <c r="H30" s="26"/>
    </row>
    <row r="31" spans="1:8" ht="16">
      <c r="A31" s="26" t="s">
        <v>96</v>
      </c>
      <c r="B31" s="26">
        <v>96.275000000000006</v>
      </c>
      <c r="C31" s="26">
        <v>29.628</v>
      </c>
      <c r="D31" s="34">
        <v>-181</v>
      </c>
      <c r="E31" s="35">
        <v>3</v>
      </c>
      <c r="F31" s="36">
        <v>2</v>
      </c>
      <c r="G31" s="37">
        <f t="shared" si="0"/>
        <v>18</v>
      </c>
      <c r="H31" s="26"/>
    </row>
    <row r="32" spans="1:8" ht="16">
      <c r="A32" s="26" t="s">
        <v>97</v>
      </c>
      <c r="B32" s="26">
        <v>96.132000000000005</v>
      </c>
      <c r="C32" s="26">
        <v>29.722000000000001</v>
      </c>
      <c r="D32" s="34">
        <v>-205</v>
      </c>
      <c r="E32" s="35">
        <v>3</v>
      </c>
      <c r="F32" s="36">
        <v>2</v>
      </c>
      <c r="G32" s="37">
        <f t="shared" si="0"/>
        <v>18</v>
      </c>
      <c r="H32" s="26"/>
    </row>
    <row r="33" spans="1:8" ht="16">
      <c r="A33" s="26" t="s">
        <v>98</v>
      </c>
      <c r="B33" s="26">
        <v>95.825000000000003</v>
      </c>
      <c r="C33" s="26">
        <v>29.803999999999998</v>
      </c>
      <c r="D33" s="34">
        <v>-198</v>
      </c>
      <c r="E33" s="35">
        <v>3</v>
      </c>
      <c r="F33" s="36">
        <v>2</v>
      </c>
      <c r="G33" s="37">
        <f t="shared" si="0"/>
        <v>18</v>
      </c>
      <c r="H33" s="26"/>
    </row>
    <row r="34" spans="1:8" ht="16">
      <c r="A34" s="26" t="s">
        <v>99</v>
      </c>
      <c r="B34" s="26">
        <v>94.287000000000006</v>
      </c>
      <c r="C34" s="26">
        <v>29.736999999999998</v>
      </c>
      <c r="D34" s="34">
        <v>-212</v>
      </c>
      <c r="E34" s="35">
        <v>3</v>
      </c>
      <c r="F34" s="36">
        <v>2</v>
      </c>
      <c r="G34" s="37">
        <f t="shared" si="0"/>
        <v>18</v>
      </c>
      <c r="H34" s="26"/>
    </row>
    <row r="35" spans="1:8" ht="16">
      <c r="A35" s="26" t="s">
        <v>100</v>
      </c>
      <c r="B35" s="26">
        <v>93.763999999999996</v>
      </c>
      <c r="C35" s="26">
        <v>29.82</v>
      </c>
      <c r="D35" s="34">
        <v>-207</v>
      </c>
      <c r="E35" s="35">
        <v>3</v>
      </c>
      <c r="F35" s="36">
        <v>2</v>
      </c>
      <c r="G35" s="37">
        <f t="shared" si="0"/>
        <v>18</v>
      </c>
      <c r="H35" s="26"/>
    </row>
    <row r="36" spans="1:8" ht="16">
      <c r="A36" s="26" t="s">
        <v>101</v>
      </c>
      <c r="B36" s="26">
        <v>93.685000000000002</v>
      </c>
      <c r="C36" s="26">
        <v>29.85</v>
      </c>
      <c r="D36" s="34">
        <v>-218</v>
      </c>
      <c r="E36" s="35">
        <v>3</v>
      </c>
      <c r="F36" s="36">
        <v>2</v>
      </c>
      <c r="G36" s="37">
        <f t="shared" si="0"/>
        <v>18</v>
      </c>
      <c r="H36" s="26"/>
    </row>
    <row r="37" spans="1:8" ht="16">
      <c r="A37" s="26" t="s">
        <v>102</v>
      </c>
      <c r="B37" s="26">
        <v>93.361999999999995</v>
      </c>
      <c r="C37" s="26">
        <v>29.895</v>
      </c>
      <c r="D37" s="34">
        <v>-206</v>
      </c>
      <c r="E37" s="35">
        <v>3</v>
      </c>
      <c r="F37" s="36">
        <v>2</v>
      </c>
      <c r="G37" s="37">
        <f t="shared" si="0"/>
        <v>18</v>
      </c>
      <c r="H37" s="26"/>
    </row>
    <row r="38" spans="1:8" ht="16">
      <c r="A38" s="26" t="s">
        <v>103</v>
      </c>
      <c r="B38" s="26">
        <v>93.188000000000002</v>
      </c>
      <c r="C38" s="26">
        <v>29.902000000000001</v>
      </c>
      <c r="D38" s="34">
        <v>-197</v>
      </c>
      <c r="E38" s="35">
        <v>3</v>
      </c>
      <c r="F38" s="36">
        <v>2</v>
      </c>
      <c r="G38" s="37">
        <f t="shared" si="0"/>
        <v>18</v>
      </c>
      <c r="H38" s="26"/>
    </row>
    <row r="39" spans="1:8" ht="16">
      <c r="A39" s="26" t="s">
        <v>104</v>
      </c>
      <c r="B39" s="26">
        <v>92.929000000000002</v>
      </c>
      <c r="C39" s="26">
        <v>30.033000000000001</v>
      </c>
      <c r="D39" s="34">
        <v>-223</v>
      </c>
      <c r="E39" s="35">
        <v>3</v>
      </c>
      <c r="F39" s="36">
        <v>2</v>
      </c>
      <c r="G39" s="37">
        <f t="shared" si="0"/>
        <v>18</v>
      </c>
      <c r="H39" s="26"/>
    </row>
    <row r="40" spans="1:8" ht="16">
      <c r="A40" s="26" t="s">
        <v>105</v>
      </c>
      <c r="B40" s="26">
        <v>92.75</v>
      </c>
      <c r="C40" s="26">
        <v>29.904</v>
      </c>
      <c r="D40" s="34">
        <v>-222</v>
      </c>
      <c r="E40" s="35">
        <v>3</v>
      </c>
      <c r="F40" s="36">
        <v>2</v>
      </c>
      <c r="G40" s="37">
        <f t="shared" si="0"/>
        <v>18</v>
      </c>
      <c r="H40" s="26"/>
    </row>
    <row r="41" spans="1:8" ht="16">
      <c r="A41" s="26" t="s">
        <v>106</v>
      </c>
      <c r="B41" s="26">
        <v>92.64</v>
      </c>
      <c r="C41" s="26">
        <v>29.870999999999999</v>
      </c>
      <c r="D41" s="34">
        <v>-225</v>
      </c>
      <c r="E41" s="35">
        <v>3</v>
      </c>
      <c r="F41" s="36">
        <v>2</v>
      </c>
      <c r="G41" s="37">
        <f t="shared" si="0"/>
        <v>18</v>
      </c>
      <c r="H41" s="26"/>
    </row>
    <row r="42" spans="1:8" ht="16">
      <c r="A42" s="26" t="s">
        <v>107</v>
      </c>
      <c r="B42" s="26">
        <v>92.531999999999996</v>
      </c>
      <c r="C42" s="26">
        <v>29.873000000000001</v>
      </c>
      <c r="D42" s="34">
        <v>-224</v>
      </c>
      <c r="E42" s="35">
        <v>3</v>
      </c>
      <c r="F42" s="36">
        <v>2</v>
      </c>
      <c r="G42" s="37">
        <f t="shared" si="0"/>
        <v>18</v>
      </c>
      <c r="H42" s="26"/>
    </row>
    <row r="43" spans="1:8" ht="16">
      <c r="A43" s="26" t="s">
        <v>107</v>
      </c>
      <c r="B43" s="26">
        <v>92.531999999999996</v>
      </c>
      <c r="C43" s="26">
        <v>29.873000000000001</v>
      </c>
      <c r="D43" s="34">
        <v>-220</v>
      </c>
      <c r="E43" s="35">
        <v>3</v>
      </c>
      <c r="F43" s="36">
        <v>2</v>
      </c>
      <c r="G43" s="37">
        <f t="shared" si="0"/>
        <v>18</v>
      </c>
      <c r="H43" s="26"/>
    </row>
    <row r="44" spans="1:8" ht="16">
      <c r="A44" s="26" t="s">
        <v>108</v>
      </c>
      <c r="B44" s="26">
        <v>92.364000000000004</v>
      </c>
      <c r="C44" s="26">
        <v>29.913</v>
      </c>
      <c r="D44" s="34">
        <v>-232</v>
      </c>
      <c r="E44" s="35">
        <v>3</v>
      </c>
      <c r="F44" s="36">
        <v>2</v>
      </c>
      <c r="G44" s="37">
        <f t="shared" si="0"/>
        <v>18</v>
      </c>
      <c r="H44" s="26"/>
    </row>
    <row r="45" spans="1:8" ht="16">
      <c r="A45" s="26" t="s">
        <v>109</v>
      </c>
      <c r="B45" s="26">
        <v>92.323999999999998</v>
      </c>
      <c r="C45" s="26">
        <v>29.838000000000001</v>
      </c>
      <c r="D45" s="34">
        <v>-244</v>
      </c>
      <c r="E45" s="35">
        <v>3</v>
      </c>
      <c r="F45" s="36">
        <v>2</v>
      </c>
      <c r="G45" s="37">
        <f t="shared" si="0"/>
        <v>18</v>
      </c>
      <c r="H45" s="26"/>
    </row>
    <row r="46" spans="1:8" ht="16">
      <c r="A46" s="26" t="s">
        <v>110</v>
      </c>
      <c r="B46" s="26">
        <v>92.343999999999994</v>
      </c>
      <c r="C46" s="26">
        <v>29.831</v>
      </c>
      <c r="D46" s="34">
        <v>-233</v>
      </c>
      <c r="E46" s="35">
        <v>3</v>
      </c>
      <c r="F46" s="36">
        <v>2</v>
      </c>
      <c r="G46" s="37">
        <f t="shared" si="0"/>
        <v>18</v>
      </c>
      <c r="H46" s="26"/>
    </row>
    <row r="47" spans="1:8" ht="16">
      <c r="A47" s="26" t="s">
        <v>111</v>
      </c>
      <c r="B47" s="26">
        <v>92.326999999999998</v>
      </c>
      <c r="C47" s="26">
        <v>29.774000000000001</v>
      </c>
      <c r="D47" s="34">
        <v>-233</v>
      </c>
      <c r="E47" s="35">
        <v>3</v>
      </c>
      <c r="F47" s="36">
        <v>2</v>
      </c>
      <c r="G47" s="37">
        <f t="shared" si="0"/>
        <v>18</v>
      </c>
      <c r="H47" s="26"/>
    </row>
    <row r="48" spans="1:8" ht="16">
      <c r="A48" s="26" t="s">
        <v>112</v>
      </c>
      <c r="B48" s="26">
        <v>92.225999999999999</v>
      </c>
      <c r="C48" s="26">
        <v>29.696999999999999</v>
      </c>
      <c r="D48" s="34">
        <v>-228</v>
      </c>
      <c r="E48" s="35">
        <v>3</v>
      </c>
      <c r="F48" s="36">
        <v>2</v>
      </c>
      <c r="G48" s="37">
        <f t="shared" si="0"/>
        <v>18</v>
      </c>
      <c r="H48" s="26"/>
    </row>
    <row r="49" spans="1:8" ht="16">
      <c r="A49" s="26" t="s">
        <v>113</v>
      </c>
      <c r="B49" s="26">
        <v>91.948999999999998</v>
      </c>
      <c r="C49" s="26">
        <v>29.748999999999999</v>
      </c>
      <c r="D49" s="34">
        <v>-230</v>
      </c>
      <c r="E49" s="35">
        <v>3</v>
      </c>
      <c r="F49" s="36">
        <v>2</v>
      </c>
      <c r="G49" s="37">
        <f t="shared" si="0"/>
        <v>18</v>
      </c>
      <c r="H49" s="26"/>
    </row>
    <row r="50" spans="1:8" ht="16">
      <c r="A50" s="26" t="s">
        <v>114</v>
      </c>
      <c r="B50" s="26">
        <v>90.623000000000005</v>
      </c>
      <c r="C50" s="26">
        <v>29.266999999999999</v>
      </c>
      <c r="D50" s="34">
        <v>-207</v>
      </c>
      <c r="E50" s="38">
        <v>5</v>
      </c>
      <c r="F50" s="36">
        <v>2</v>
      </c>
      <c r="G50" s="37">
        <f t="shared" si="0"/>
        <v>50</v>
      </c>
      <c r="H50" s="26"/>
    </row>
    <row r="51" spans="1:8" ht="16">
      <c r="A51" s="26" t="s">
        <v>115</v>
      </c>
      <c r="B51" s="26">
        <v>90.637</v>
      </c>
      <c r="C51" s="26">
        <v>29.228999999999999</v>
      </c>
      <c r="D51" s="34">
        <v>-221</v>
      </c>
      <c r="E51" s="38">
        <v>2</v>
      </c>
      <c r="F51" s="36">
        <v>2</v>
      </c>
      <c r="G51" s="37">
        <f t="shared" si="0"/>
        <v>8</v>
      </c>
      <c r="H51" s="26"/>
    </row>
    <row r="52" spans="1:8" ht="16">
      <c r="A52" s="26" t="s">
        <v>117</v>
      </c>
      <c r="B52" s="26">
        <v>90.167000000000002</v>
      </c>
      <c r="C52" s="26">
        <v>28.893000000000001</v>
      </c>
      <c r="D52" s="34">
        <v>-249</v>
      </c>
      <c r="E52" s="38">
        <v>3</v>
      </c>
      <c r="F52" s="36">
        <v>2</v>
      </c>
      <c r="G52" s="37">
        <f t="shared" si="0"/>
        <v>18</v>
      </c>
      <c r="H52" s="26"/>
    </row>
    <row r="53" spans="1:8" ht="16">
      <c r="A53" s="26" t="s">
        <v>118</v>
      </c>
      <c r="B53" s="26">
        <v>88.594999999999999</v>
      </c>
      <c r="C53" s="26">
        <v>29.152000000000001</v>
      </c>
      <c r="D53" s="34">
        <v>-211</v>
      </c>
      <c r="E53" s="38">
        <v>4</v>
      </c>
      <c r="F53" s="36">
        <v>2</v>
      </c>
      <c r="G53" s="37">
        <f t="shared" si="0"/>
        <v>32</v>
      </c>
      <c r="H53" s="26"/>
    </row>
    <row r="54" spans="1:8" ht="16">
      <c r="A54" s="26" t="s">
        <v>120</v>
      </c>
      <c r="B54" s="26">
        <v>86.167000000000002</v>
      </c>
      <c r="C54" s="26">
        <v>28.515999999999998</v>
      </c>
      <c r="D54" s="34">
        <v>-218</v>
      </c>
      <c r="E54" s="38">
        <v>3</v>
      </c>
      <c r="F54" s="36">
        <v>2</v>
      </c>
      <c r="G54" s="37">
        <f t="shared" si="0"/>
        <v>18</v>
      </c>
      <c r="H54" s="26"/>
    </row>
    <row r="55" spans="1:8" ht="16">
      <c r="A55" s="26" t="s">
        <v>121</v>
      </c>
      <c r="B55" s="26">
        <v>86.147999999999996</v>
      </c>
      <c r="C55" s="26">
        <v>28.489000000000001</v>
      </c>
      <c r="D55" s="34">
        <v>-239</v>
      </c>
      <c r="E55" s="38">
        <v>1</v>
      </c>
      <c r="F55" s="36">
        <v>2</v>
      </c>
      <c r="G55" s="37">
        <f t="shared" si="0"/>
        <v>2</v>
      </c>
      <c r="H55" s="26"/>
    </row>
    <row r="56" spans="1:8" ht="16">
      <c r="A56" s="26" t="s">
        <v>122</v>
      </c>
      <c r="B56" s="26">
        <v>86.156999999999996</v>
      </c>
      <c r="C56" s="26">
        <v>28.484999999999999</v>
      </c>
      <c r="D56" s="34">
        <v>-224</v>
      </c>
      <c r="E56" s="38">
        <v>3</v>
      </c>
      <c r="F56" s="36">
        <v>2</v>
      </c>
      <c r="G56" s="37">
        <f t="shared" si="0"/>
        <v>18</v>
      </c>
      <c r="H56" s="26"/>
    </row>
    <row r="57" spans="1:8" ht="16">
      <c r="A57" s="26" t="s">
        <v>124</v>
      </c>
      <c r="B57" s="26">
        <v>86.156000000000006</v>
      </c>
      <c r="C57" s="26">
        <v>28.439</v>
      </c>
      <c r="D57" s="34">
        <v>-228</v>
      </c>
      <c r="E57" s="38">
        <v>2</v>
      </c>
      <c r="F57" s="36">
        <v>2</v>
      </c>
      <c r="G57" s="37">
        <f t="shared" si="0"/>
        <v>8</v>
      </c>
      <c r="H57" s="26"/>
    </row>
    <row r="58" spans="1:8" ht="16">
      <c r="A58" s="26" t="s">
        <v>125</v>
      </c>
      <c r="B58" s="26">
        <v>86.097999999999999</v>
      </c>
      <c r="C58" s="26">
        <v>28.367999999999999</v>
      </c>
      <c r="D58" s="34">
        <v>-217</v>
      </c>
      <c r="E58" s="38">
        <v>2</v>
      </c>
      <c r="F58" s="36">
        <v>2</v>
      </c>
      <c r="G58" s="37">
        <f t="shared" si="0"/>
        <v>8</v>
      </c>
      <c r="H58" s="26"/>
    </row>
    <row r="59" spans="1:8" ht="16">
      <c r="A59" s="26" t="s">
        <v>126</v>
      </c>
      <c r="B59" s="26">
        <v>86.037000000000006</v>
      </c>
      <c r="C59" s="26">
        <v>28.303000000000001</v>
      </c>
      <c r="D59" s="34">
        <v>-226</v>
      </c>
      <c r="E59" s="38">
        <v>2</v>
      </c>
      <c r="F59" s="36">
        <v>2</v>
      </c>
      <c r="G59" s="37">
        <f t="shared" si="0"/>
        <v>8</v>
      </c>
      <c r="H59" s="26"/>
    </row>
    <row r="60" spans="1:8" ht="16">
      <c r="A60" s="26" t="s">
        <v>127</v>
      </c>
      <c r="B60" s="26">
        <v>86.001000000000005</v>
      </c>
      <c r="C60" s="26">
        <v>28.22</v>
      </c>
      <c r="D60" s="34">
        <v>-197</v>
      </c>
      <c r="E60" s="38">
        <v>1</v>
      </c>
      <c r="F60" s="36">
        <v>2</v>
      </c>
      <c r="G60" s="37">
        <f t="shared" si="0"/>
        <v>2</v>
      </c>
      <c r="H60" s="26"/>
    </row>
    <row r="61" spans="1:8" ht="16">
      <c r="A61" s="26" t="s">
        <v>128</v>
      </c>
      <c r="B61" s="26">
        <v>85.984999999999999</v>
      </c>
      <c r="C61" s="26">
        <v>28.178000000000001</v>
      </c>
      <c r="D61" s="34">
        <v>-199</v>
      </c>
      <c r="E61" s="38">
        <v>1</v>
      </c>
      <c r="F61" s="36">
        <v>2</v>
      </c>
      <c r="G61" s="37">
        <f t="shared" si="0"/>
        <v>2</v>
      </c>
      <c r="H61" s="26"/>
    </row>
    <row r="62" spans="1:8" ht="16">
      <c r="A62" s="26" t="s">
        <v>129</v>
      </c>
      <c r="B62" s="26">
        <v>85.983000000000004</v>
      </c>
      <c r="C62" s="26">
        <v>28.143000000000001</v>
      </c>
      <c r="D62" s="34">
        <v>-210</v>
      </c>
      <c r="E62" s="38">
        <v>1</v>
      </c>
      <c r="F62" s="36">
        <v>2</v>
      </c>
      <c r="G62" s="37">
        <f t="shared" si="0"/>
        <v>2</v>
      </c>
      <c r="H62" s="26"/>
    </row>
    <row r="63" spans="1:8" ht="16">
      <c r="A63" s="26" t="s">
        <v>130</v>
      </c>
      <c r="B63" s="26">
        <v>85.989000000000004</v>
      </c>
      <c r="C63" s="26">
        <v>28.126000000000001</v>
      </c>
      <c r="D63" s="34">
        <v>-210</v>
      </c>
      <c r="E63" s="38">
        <v>4</v>
      </c>
      <c r="F63" s="36">
        <v>2</v>
      </c>
      <c r="G63" s="37">
        <f t="shared" si="0"/>
        <v>32</v>
      </c>
      <c r="H63" s="26"/>
    </row>
    <row r="64" spans="1:8" ht="16">
      <c r="A64" s="26" t="s">
        <v>131</v>
      </c>
      <c r="B64" s="26">
        <v>86.001000000000005</v>
      </c>
      <c r="C64" s="26">
        <v>28.088000000000001</v>
      </c>
      <c r="D64" s="34">
        <v>-216</v>
      </c>
      <c r="E64" s="38">
        <v>1</v>
      </c>
      <c r="F64" s="36">
        <v>2</v>
      </c>
      <c r="G64" s="37">
        <f t="shared" si="0"/>
        <v>2</v>
      </c>
      <c r="H64" s="26"/>
    </row>
    <row r="65" spans="1:8" ht="16">
      <c r="A65" s="26" t="s">
        <v>132</v>
      </c>
      <c r="B65" s="26">
        <v>86.003</v>
      </c>
      <c r="C65" s="26">
        <v>28.065000000000001</v>
      </c>
      <c r="D65" s="34">
        <v>-219</v>
      </c>
      <c r="E65" s="38">
        <v>2</v>
      </c>
      <c r="F65" s="36">
        <v>2</v>
      </c>
      <c r="G65" s="37">
        <f t="shared" si="0"/>
        <v>8</v>
      </c>
      <c r="H65" s="26"/>
    </row>
    <row r="66" spans="1:8" ht="16">
      <c r="A66" s="26" t="s">
        <v>133</v>
      </c>
      <c r="B66" s="26">
        <v>85.989000000000004</v>
      </c>
      <c r="C66" s="26">
        <v>28.038</v>
      </c>
      <c r="D66" s="34">
        <v>-214</v>
      </c>
      <c r="E66" s="38">
        <v>5</v>
      </c>
      <c r="F66" s="36">
        <v>2</v>
      </c>
      <c r="G66" s="37">
        <f t="shared" si="0"/>
        <v>50</v>
      </c>
      <c r="H66" s="26"/>
    </row>
    <row r="67" spans="1:8" ht="16">
      <c r="A67" s="26" t="s">
        <v>135</v>
      </c>
      <c r="B67" s="26">
        <v>85.984999999999999</v>
      </c>
      <c r="C67" s="26">
        <v>28.029</v>
      </c>
      <c r="D67" s="34">
        <v>-193</v>
      </c>
      <c r="E67" s="38">
        <v>3</v>
      </c>
      <c r="F67" s="36">
        <v>2</v>
      </c>
      <c r="G67" s="37">
        <f t="shared" si="0"/>
        <v>18</v>
      </c>
      <c r="H67" s="26"/>
    </row>
    <row r="68" spans="1:8" ht="16">
      <c r="A68" s="26" t="s">
        <v>136</v>
      </c>
      <c r="B68" s="26">
        <v>85.977999999999994</v>
      </c>
      <c r="C68" s="26">
        <v>28.004000000000001</v>
      </c>
      <c r="D68" s="34">
        <v>-190</v>
      </c>
      <c r="E68" s="38">
        <v>1</v>
      </c>
      <c r="F68" s="36">
        <v>2</v>
      </c>
      <c r="G68" s="37">
        <f t="shared" ref="G68:G103" si="1">(E68^2)*F68</f>
        <v>2</v>
      </c>
      <c r="H68" s="26"/>
    </row>
    <row r="69" spans="1:8" ht="16">
      <c r="A69" s="26" t="s">
        <v>137</v>
      </c>
      <c r="B69" s="26">
        <v>85.981999999999999</v>
      </c>
      <c r="C69" s="26">
        <v>27.994</v>
      </c>
      <c r="D69" s="34">
        <v>-205</v>
      </c>
      <c r="E69" s="38">
        <v>2</v>
      </c>
      <c r="F69" s="36">
        <v>2</v>
      </c>
      <c r="G69" s="37">
        <f t="shared" si="1"/>
        <v>8</v>
      </c>
      <c r="H69" s="26"/>
    </row>
    <row r="70" spans="1:8" ht="16">
      <c r="A70" s="26" t="s">
        <v>138</v>
      </c>
      <c r="B70" s="26">
        <v>85.968999999999994</v>
      </c>
      <c r="C70" s="26">
        <v>27.983000000000001</v>
      </c>
      <c r="D70" s="34">
        <v>-183</v>
      </c>
      <c r="E70" s="38">
        <v>6</v>
      </c>
      <c r="F70" s="36">
        <v>2</v>
      </c>
      <c r="G70" s="37">
        <f t="shared" si="1"/>
        <v>72</v>
      </c>
      <c r="H70" s="26"/>
    </row>
    <row r="71" spans="1:8" ht="16">
      <c r="A71" s="26" t="s">
        <v>139</v>
      </c>
      <c r="B71" s="26">
        <v>85.975999999999999</v>
      </c>
      <c r="C71" s="26">
        <v>27.975000000000001</v>
      </c>
      <c r="D71" s="34">
        <v>-189</v>
      </c>
      <c r="E71" s="38">
        <v>2</v>
      </c>
      <c r="F71" s="36">
        <v>2</v>
      </c>
      <c r="G71" s="37">
        <f t="shared" si="1"/>
        <v>8</v>
      </c>
      <c r="H71" s="26"/>
    </row>
    <row r="72" spans="1:8" ht="16">
      <c r="A72" s="26" t="s">
        <v>140</v>
      </c>
      <c r="B72" s="26">
        <v>85.975999999999999</v>
      </c>
      <c r="C72" s="26">
        <v>27.977</v>
      </c>
      <c r="D72" s="34">
        <v>-156</v>
      </c>
      <c r="E72" s="38">
        <v>1</v>
      </c>
      <c r="F72" s="36">
        <v>2</v>
      </c>
      <c r="G72" s="37">
        <f t="shared" si="1"/>
        <v>2</v>
      </c>
      <c r="H72" s="26"/>
    </row>
    <row r="73" spans="1:8" ht="16">
      <c r="A73" s="26" t="s">
        <v>141</v>
      </c>
      <c r="B73" s="26">
        <v>85.966999999999999</v>
      </c>
      <c r="C73" s="26">
        <v>27.966000000000001</v>
      </c>
      <c r="D73" s="34">
        <v>-190</v>
      </c>
      <c r="E73" s="38">
        <v>3</v>
      </c>
      <c r="F73" s="36">
        <v>2</v>
      </c>
      <c r="G73" s="37">
        <f t="shared" si="1"/>
        <v>18</v>
      </c>
      <c r="H73" s="26"/>
    </row>
    <row r="74" spans="1:8" ht="16">
      <c r="A74" s="26" t="s">
        <v>142</v>
      </c>
      <c r="B74" s="26">
        <v>85.971999999999994</v>
      </c>
      <c r="C74" s="26">
        <v>27.974</v>
      </c>
      <c r="D74" s="34">
        <v>-166</v>
      </c>
      <c r="E74" s="38">
        <v>5</v>
      </c>
      <c r="F74" s="36">
        <v>2</v>
      </c>
      <c r="G74" s="37">
        <f t="shared" si="1"/>
        <v>50</v>
      </c>
      <c r="H74" s="26"/>
    </row>
    <row r="75" spans="1:8" ht="16">
      <c r="A75" s="26" t="s">
        <v>144</v>
      </c>
      <c r="B75" s="26">
        <v>85.962999999999994</v>
      </c>
      <c r="C75" s="26">
        <v>27.631</v>
      </c>
      <c r="D75" s="34">
        <v>-161</v>
      </c>
      <c r="E75" s="38">
        <v>5</v>
      </c>
      <c r="F75" s="36">
        <v>2</v>
      </c>
      <c r="G75" s="37">
        <f t="shared" si="1"/>
        <v>50</v>
      </c>
      <c r="H75" s="26"/>
    </row>
    <row r="76" spans="1:8" ht="16">
      <c r="A76" s="26" t="s">
        <v>145</v>
      </c>
      <c r="B76" s="26">
        <v>85.978999999999999</v>
      </c>
      <c r="C76" s="26">
        <v>27.966000000000001</v>
      </c>
      <c r="D76" s="39">
        <v>-162</v>
      </c>
      <c r="E76" s="38">
        <v>3</v>
      </c>
      <c r="F76" s="36">
        <v>2</v>
      </c>
      <c r="G76" s="37">
        <f t="shared" si="1"/>
        <v>18</v>
      </c>
      <c r="H76" s="26"/>
    </row>
    <row r="77" spans="1:8" ht="16">
      <c r="A77" s="40" t="s">
        <v>234</v>
      </c>
      <c r="B77" s="41">
        <v>95.194400000000002</v>
      </c>
      <c r="C77" s="41">
        <v>33.119100000000003</v>
      </c>
      <c r="D77" s="42">
        <v>-208</v>
      </c>
      <c r="E77" s="43">
        <v>7</v>
      </c>
      <c r="F77" s="36">
        <v>2</v>
      </c>
      <c r="G77" s="37">
        <f t="shared" si="1"/>
        <v>98</v>
      </c>
      <c r="H77" s="26"/>
    </row>
    <row r="78" spans="1:8" ht="16">
      <c r="A78" s="40" t="s">
        <v>235</v>
      </c>
      <c r="B78" s="41">
        <v>95.139399999999995</v>
      </c>
      <c r="C78" s="41">
        <v>32.732300000000002</v>
      </c>
      <c r="D78" s="42">
        <v>-234</v>
      </c>
      <c r="E78" s="43">
        <v>2</v>
      </c>
      <c r="F78" s="36">
        <v>2</v>
      </c>
      <c r="G78" s="37">
        <f t="shared" si="1"/>
        <v>8</v>
      </c>
      <c r="H78" s="26"/>
    </row>
    <row r="79" spans="1:8" ht="16">
      <c r="A79" s="40" t="s">
        <v>236</v>
      </c>
      <c r="B79" s="41">
        <v>95.4268</v>
      </c>
      <c r="C79" s="41">
        <v>32.4193</v>
      </c>
      <c r="D79" s="42">
        <v>-234</v>
      </c>
      <c r="E79" s="43">
        <v>8</v>
      </c>
      <c r="F79" s="36">
        <v>2</v>
      </c>
      <c r="G79" s="37">
        <f t="shared" si="1"/>
        <v>128</v>
      </c>
      <c r="H79" s="26"/>
    </row>
    <row r="80" spans="1:8" ht="16">
      <c r="A80" s="40" t="s">
        <v>237</v>
      </c>
      <c r="B80" s="41">
        <v>95.956199999999995</v>
      </c>
      <c r="C80" s="41">
        <v>32.337200000000003</v>
      </c>
      <c r="D80" s="42">
        <v>-241</v>
      </c>
      <c r="E80" s="43">
        <v>3</v>
      </c>
      <c r="F80" s="36">
        <v>2</v>
      </c>
      <c r="G80" s="37">
        <f t="shared" si="1"/>
        <v>18</v>
      </c>
      <c r="H80" s="26"/>
    </row>
    <row r="81" spans="1:8" ht="16">
      <c r="A81" s="40" t="s">
        <v>238</v>
      </c>
      <c r="B81" s="41">
        <v>96.408500000000004</v>
      </c>
      <c r="C81" s="41">
        <v>31.448499999999999</v>
      </c>
      <c r="D81" s="42">
        <v>-240</v>
      </c>
      <c r="E81" s="43">
        <v>2</v>
      </c>
      <c r="F81" s="36">
        <v>2</v>
      </c>
      <c r="G81" s="37">
        <f t="shared" si="1"/>
        <v>8</v>
      </c>
      <c r="H81" s="26"/>
    </row>
    <row r="82" spans="1:8" ht="16">
      <c r="A82" s="40" t="s">
        <v>239</v>
      </c>
      <c r="B82" s="41">
        <v>97.4358</v>
      </c>
      <c r="C82" s="41">
        <v>30.682600000000001</v>
      </c>
      <c r="D82" s="42">
        <v>-219</v>
      </c>
      <c r="E82" s="43">
        <v>4</v>
      </c>
      <c r="F82" s="36">
        <v>2</v>
      </c>
      <c r="G82" s="37">
        <f t="shared" si="1"/>
        <v>32</v>
      </c>
      <c r="H82" s="26"/>
    </row>
    <row r="83" spans="1:8" ht="16">
      <c r="A83" s="40" t="s">
        <v>240</v>
      </c>
      <c r="B83" s="41">
        <v>97.6524</v>
      </c>
      <c r="C83" s="41">
        <v>29.8795</v>
      </c>
      <c r="D83" s="42">
        <v>-247</v>
      </c>
      <c r="E83" s="43">
        <v>4</v>
      </c>
      <c r="F83" s="36">
        <v>2</v>
      </c>
      <c r="G83" s="37">
        <f t="shared" si="1"/>
        <v>32</v>
      </c>
      <c r="H83" s="26"/>
    </row>
    <row r="84" spans="1:8" ht="16">
      <c r="A84" s="40" t="s">
        <v>241</v>
      </c>
      <c r="B84" s="41">
        <v>98.677999999999997</v>
      </c>
      <c r="C84" s="41">
        <v>29.3718</v>
      </c>
      <c r="D84" s="42">
        <v>-221</v>
      </c>
      <c r="E84" s="43">
        <v>1</v>
      </c>
      <c r="F84" s="36">
        <v>2</v>
      </c>
      <c r="G84" s="37">
        <f t="shared" si="1"/>
        <v>2</v>
      </c>
      <c r="H84" s="26"/>
    </row>
    <row r="85" spans="1:8" ht="16">
      <c r="A85" s="40" t="s">
        <v>242</v>
      </c>
      <c r="B85" s="41">
        <v>99.278199999999998</v>
      </c>
      <c r="C85" s="41">
        <v>28.2395</v>
      </c>
      <c r="D85" s="42">
        <v>-221</v>
      </c>
      <c r="E85" s="43">
        <v>1</v>
      </c>
      <c r="F85" s="36">
        <v>2</v>
      </c>
      <c r="G85" s="37">
        <f t="shared" si="1"/>
        <v>2</v>
      </c>
      <c r="H85" s="26"/>
    </row>
    <row r="86" spans="1:8" ht="16">
      <c r="A86" s="40" t="s">
        <v>243</v>
      </c>
      <c r="B86" s="44">
        <v>100.025806</v>
      </c>
      <c r="C86" s="44">
        <v>27.223472000000001</v>
      </c>
      <c r="D86" s="45">
        <v>-203.98210310447692</v>
      </c>
      <c r="E86" s="46">
        <v>3</v>
      </c>
      <c r="F86" s="36">
        <v>2</v>
      </c>
      <c r="G86" s="37">
        <f t="shared" si="1"/>
        <v>18</v>
      </c>
      <c r="H86" s="26"/>
    </row>
    <row r="87" spans="1:8" ht="16">
      <c r="A87" s="40" t="s">
        <v>244</v>
      </c>
      <c r="B87" s="41">
        <v>98.034899999999993</v>
      </c>
      <c r="C87" s="41">
        <v>31.331</v>
      </c>
      <c r="D87" s="42">
        <v>-240</v>
      </c>
      <c r="E87" s="43">
        <v>3</v>
      </c>
      <c r="F87" s="36">
        <v>2</v>
      </c>
      <c r="G87" s="37">
        <f t="shared" si="1"/>
        <v>18</v>
      </c>
      <c r="H87" s="26"/>
    </row>
    <row r="88" spans="1:8" ht="16">
      <c r="A88" s="40" t="s">
        <v>245</v>
      </c>
      <c r="B88" s="41">
        <v>97.741100000000003</v>
      </c>
      <c r="C88" s="41">
        <v>31.8066</v>
      </c>
      <c r="D88" s="42">
        <v>-202</v>
      </c>
      <c r="E88" s="43">
        <v>7</v>
      </c>
      <c r="F88" s="36">
        <v>2</v>
      </c>
      <c r="G88" s="37">
        <f t="shared" si="1"/>
        <v>98</v>
      </c>
      <c r="H88" s="26"/>
    </row>
    <row r="89" spans="1:8" ht="16">
      <c r="A89" s="40" t="s">
        <v>246</v>
      </c>
      <c r="B89" s="41">
        <v>98.869399999999999</v>
      </c>
      <c r="C89" s="41">
        <v>28.455300000000001</v>
      </c>
      <c r="D89" s="42">
        <v>-231</v>
      </c>
      <c r="E89" s="43">
        <v>4</v>
      </c>
      <c r="F89" s="36">
        <v>2</v>
      </c>
      <c r="G89" s="37">
        <f t="shared" si="1"/>
        <v>32</v>
      </c>
      <c r="H89" s="26"/>
    </row>
    <row r="90" spans="1:8" ht="16">
      <c r="A90" s="40" t="s">
        <v>247</v>
      </c>
      <c r="B90" s="41">
        <v>98.427199999999999</v>
      </c>
      <c r="C90" s="41">
        <v>28.442799999999998</v>
      </c>
      <c r="D90" s="42">
        <v>-243</v>
      </c>
      <c r="E90" s="43">
        <v>3</v>
      </c>
      <c r="F90" s="36">
        <v>2</v>
      </c>
      <c r="G90" s="37">
        <f t="shared" si="1"/>
        <v>18</v>
      </c>
      <c r="H90" s="26"/>
    </row>
    <row r="91" spans="1:8" ht="16">
      <c r="A91" s="40" t="s">
        <v>248</v>
      </c>
      <c r="B91" s="41">
        <v>98.963300000000004</v>
      </c>
      <c r="C91" s="41">
        <v>28.416899999999998</v>
      </c>
      <c r="D91" s="42">
        <v>-240</v>
      </c>
      <c r="E91" s="43">
        <v>1</v>
      </c>
      <c r="F91" s="36">
        <v>2</v>
      </c>
      <c r="G91" s="37">
        <f t="shared" si="1"/>
        <v>2</v>
      </c>
      <c r="H91" s="26"/>
    </row>
    <row r="92" spans="1:8" ht="16">
      <c r="A92" s="40" t="s">
        <v>249</v>
      </c>
      <c r="B92" s="41">
        <v>100.5279</v>
      </c>
      <c r="C92" s="41">
        <v>22.192900000000002</v>
      </c>
      <c r="D92" s="42">
        <v>-210</v>
      </c>
      <c r="E92" s="43">
        <v>3</v>
      </c>
      <c r="F92" s="36">
        <v>2</v>
      </c>
      <c r="G92" s="37">
        <f t="shared" si="1"/>
        <v>18</v>
      </c>
      <c r="H92" s="26"/>
    </row>
    <row r="93" spans="1:8" ht="16">
      <c r="A93" s="40" t="s">
        <v>250</v>
      </c>
      <c r="B93" s="41">
        <v>101.271</v>
      </c>
      <c r="C93" s="41">
        <v>22.3413</v>
      </c>
      <c r="D93" s="42">
        <v>-213</v>
      </c>
      <c r="E93" s="43">
        <v>4</v>
      </c>
      <c r="F93" s="36">
        <v>2</v>
      </c>
      <c r="G93" s="37">
        <f t="shared" si="1"/>
        <v>32</v>
      </c>
      <c r="H93" s="26"/>
    </row>
    <row r="94" spans="1:8" ht="16">
      <c r="A94" s="40" t="s">
        <v>253</v>
      </c>
      <c r="B94" s="41">
        <v>101.334</v>
      </c>
      <c r="C94" s="41">
        <v>27.498699999999999</v>
      </c>
      <c r="D94" s="42">
        <v>-195</v>
      </c>
      <c r="E94" s="43">
        <v>3</v>
      </c>
      <c r="F94" s="36">
        <v>2</v>
      </c>
      <c r="G94" s="37">
        <f t="shared" si="1"/>
        <v>18</v>
      </c>
      <c r="H94" s="26"/>
    </row>
    <row r="95" spans="1:8" ht="16">
      <c r="A95" s="40" t="s">
        <v>254</v>
      </c>
      <c r="B95" s="41">
        <v>100.9693</v>
      </c>
      <c r="C95" s="41">
        <v>27.644400000000001</v>
      </c>
      <c r="D95" s="42">
        <v>-186</v>
      </c>
      <c r="E95" s="43">
        <v>3</v>
      </c>
      <c r="F95" s="36">
        <v>3</v>
      </c>
      <c r="G95" s="37">
        <f t="shared" si="1"/>
        <v>27</v>
      </c>
      <c r="H95" s="26"/>
    </row>
    <row r="96" spans="1:8" ht="16">
      <c r="A96" s="40" t="s">
        <v>255</v>
      </c>
      <c r="B96" s="41">
        <v>100.7687</v>
      </c>
      <c r="C96" s="41">
        <v>27.743300000000001</v>
      </c>
      <c r="D96" s="42">
        <v>-205</v>
      </c>
      <c r="E96" s="43">
        <v>6</v>
      </c>
      <c r="F96" s="36">
        <v>3</v>
      </c>
      <c r="G96" s="37">
        <f t="shared" si="1"/>
        <v>108</v>
      </c>
      <c r="H96" s="26"/>
    </row>
    <row r="97" spans="1:8" ht="16">
      <c r="A97" s="40" t="s">
        <v>256</v>
      </c>
      <c r="B97" s="41">
        <v>100.8164</v>
      </c>
      <c r="C97" s="41">
        <v>27.632300000000001</v>
      </c>
      <c r="D97" s="42">
        <v>-191</v>
      </c>
      <c r="E97" s="43">
        <v>6</v>
      </c>
      <c r="F97" s="36">
        <v>2</v>
      </c>
      <c r="G97" s="37">
        <f t="shared" si="1"/>
        <v>72</v>
      </c>
      <c r="H97" s="26"/>
    </row>
    <row r="98" spans="1:8" ht="16">
      <c r="A98" s="40" t="s">
        <v>257</v>
      </c>
      <c r="B98" s="41">
        <v>100.8425</v>
      </c>
      <c r="C98" s="41">
        <v>27.399000000000001</v>
      </c>
      <c r="D98" s="42">
        <v>-169</v>
      </c>
      <c r="E98" s="43">
        <v>3</v>
      </c>
      <c r="F98" s="36">
        <v>2</v>
      </c>
      <c r="G98" s="37">
        <f t="shared" si="1"/>
        <v>18</v>
      </c>
      <c r="H98" s="26"/>
    </row>
    <row r="99" spans="1:8" ht="16">
      <c r="A99" s="40" t="s">
        <v>260</v>
      </c>
      <c r="B99" s="41">
        <v>100.00109999999999</v>
      </c>
      <c r="C99" s="41">
        <v>26.882000000000001</v>
      </c>
      <c r="D99" s="42">
        <v>-196</v>
      </c>
      <c r="E99" s="43">
        <v>3</v>
      </c>
      <c r="F99" s="36">
        <v>2</v>
      </c>
      <c r="G99" s="37">
        <f t="shared" si="1"/>
        <v>18</v>
      </c>
      <c r="H99" s="26"/>
    </row>
    <row r="100" spans="1:8" ht="16">
      <c r="A100" s="40" t="s">
        <v>261</v>
      </c>
      <c r="B100" s="41" t="s">
        <v>269</v>
      </c>
      <c r="C100" s="41" t="s">
        <v>269</v>
      </c>
      <c r="D100" s="42">
        <v>-178</v>
      </c>
      <c r="E100" s="43">
        <v>4</v>
      </c>
      <c r="F100" s="36">
        <v>2</v>
      </c>
      <c r="G100" s="37">
        <f t="shared" si="1"/>
        <v>32</v>
      </c>
      <c r="H100" s="26"/>
    </row>
    <row r="101" spans="1:8" ht="16">
      <c r="A101" s="40" t="s">
        <v>262</v>
      </c>
      <c r="B101" s="41">
        <v>99.556200000000004</v>
      </c>
      <c r="C101" s="41">
        <v>27.073</v>
      </c>
      <c r="D101" s="42">
        <v>-190</v>
      </c>
      <c r="E101" s="43">
        <v>5</v>
      </c>
      <c r="F101" s="36">
        <v>2</v>
      </c>
      <c r="G101" s="37">
        <f t="shared" si="1"/>
        <v>50</v>
      </c>
      <c r="H101" s="26"/>
    </row>
    <row r="102" spans="1:8" ht="16">
      <c r="A102" s="40" t="s">
        <v>265</v>
      </c>
      <c r="B102" s="41">
        <v>99.777100000000004</v>
      </c>
      <c r="C102" s="41">
        <v>26.524000000000001</v>
      </c>
      <c r="D102" s="42">
        <v>-166</v>
      </c>
      <c r="E102" s="43">
        <v>11</v>
      </c>
      <c r="F102" s="36">
        <v>2</v>
      </c>
      <c r="G102" s="37">
        <f t="shared" si="1"/>
        <v>242</v>
      </c>
      <c r="H102" s="26"/>
    </row>
    <row r="103" spans="1:8" ht="16">
      <c r="A103" s="40" t="s">
        <v>266</v>
      </c>
      <c r="B103" s="41">
        <v>99.698800000000006</v>
      </c>
      <c r="C103" s="41">
        <v>26.486000000000001</v>
      </c>
      <c r="D103" s="42">
        <v>-213</v>
      </c>
      <c r="E103" s="43">
        <v>2</v>
      </c>
      <c r="F103" s="36">
        <v>2</v>
      </c>
      <c r="G103" s="37">
        <f t="shared" si="1"/>
        <v>8</v>
      </c>
      <c r="H103" s="26"/>
    </row>
    <row r="104" spans="1:8" ht="16">
      <c r="A104" s="30"/>
      <c r="B104" s="30"/>
      <c r="C104" s="30"/>
      <c r="D104" s="30"/>
      <c r="E104" s="47" t="s">
        <v>397</v>
      </c>
      <c r="F104" s="47"/>
      <c r="G104" s="48">
        <f>SQRT(SUM(G3:G103)/(SUM(F3:F103)-COUNT(F3:F103)))</f>
        <v>4.9433686089430449</v>
      </c>
      <c r="H104" s="26"/>
    </row>
    <row r="105" spans="1:8" ht="16">
      <c r="A105" s="30"/>
      <c r="B105" s="30"/>
      <c r="C105" s="30"/>
      <c r="D105" s="30"/>
      <c r="E105" s="47" t="s">
        <v>394</v>
      </c>
      <c r="F105" s="48">
        <f>AVERAGE(F3:F103)</f>
        <v>2.0198019801980198</v>
      </c>
      <c r="G105" s="47"/>
      <c r="H105" s="26"/>
    </row>
    <row r="106" spans="1:8" ht="16">
      <c r="A106" s="30"/>
      <c r="B106" s="30"/>
      <c r="C106" s="30"/>
      <c r="D106" s="30"/>
      <c r="E106" s="47" t="s">
        <v>395</v>
      </c>
      <c r="F106" s="47"/>
      <c r="G106" s="48">
        <f>G104/SQRT(F105)</f>
        <v>3.4783125089281217</v>
      </c>
      <c r="H106" s="26"/>
    </row>
    <row r="107" spans="1:8" ht="16">
      <c r="A107" s="30"/>
      <c r="B107" s="30"/>
      <c r="C107" s="30"/>
      <c r="D107" s="30"/>
      <c r="E107" s="30"/>
      <c r="F107" s="30"/>
      <c r="G107" s="30"/>
      <c r="H107" s="26"/>
    </row>
    <row r="108" spans="1:8" ht="16">
      <c r="H108" s="26"/>
    </row>
    <row r="109" spans="1:8" ht="16">
      <c r="H109" s="26"/>
    </row>
    <row r="110" spans="1:8" ht="16">
      <c r="H110" s="26"/>
    </row>
    <row r="111" spans="1:8" ht="16">
      <c r="H111" s="26"/>
    </row>
    <row r="112" spans="1:8" ht="16">
      <c r="H112" s="26"/>
    </row>
    <row r="113" spans="8:8" ht="16">
      <c r="H113" s="26"/>
    </row>
    <row r="114" spans="8:8" ht="16">
      <c r="H114" s="26"/>
    </row>
    <row r="115" spans="8:8" ht="16">
      <c r="H115" s="26"/>
    </row>
    <row r="116" spans="8:8" ht="16">
      <c r="H116" s="26"/>
    </row>
    <row r="117" spans="8:8" ht="16">
      <c r="H11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samples</vt:lpstr>
      <vt:lpstr>SE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Spatial patterns of soil n-alkane δD values on the Tibetan Plateau: Implications for monsoon boundaries and paleoelevation reconstructions</dc:title>
  <dc:subject>0744 Cryosphere: Rivers (0483, 1856); 1055 Geochemistry: Organic and biogenic geochemistry; 1854 Hydrology: Precipitation (3354); 1865 Hydrology: Soils (0486); 9320 Geographic Location: Asia</dc:subject>
  <dc:creator>Yan Bai</dc:creator>
  <cp:lastModifiedBy>Hren, Michael</cp:lastModifiedBy>
  <dcterms:created xsi:type="dcterms:W3CDTF">2022-12-05T22:09:56Z</dcterms:created>
  <dcterms:modified xsi:type="dcterms:W3CDTF">2025-09-25T01:14:41Z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2012-10-12T00:00:00Z</vt:filetime>
  </property>
  <property fmtid="{D5CDD505-2E9C-101B-9397-08002B2CF9AE}" pid="3" name="Creator">
    <vt:lpwstr>Arbortext Advanced Print Publisher 9.0.114/W Unicode</vt:lpwstr>
  </property>
  <property fmtid="{D5CDD505-2E9C-101B-9397-08002B2CF9AE}" pid="4" name="LastSaved">
    <vt:filetime>2022-12-05T00:00:00Z</vt:filetime>
  </property>
  <property fmtid="{D5CDD505-2E9C-101B-9397-08002B2CF9AE}" pid="5" name="Producer">
    <vt:lpwstr>PDFlib PLOP 2.0.0p6 (SunOS)/Acrobat Distiller 9.0.0 (Windows); modified using iText 4.2.0 by 1T3XT</vt:lpwstr>
  </property>
  <property fmtid="{D5CDD505-2E9C-101B-9397-08002B2CF9AE}" pid="6" name="WPS-ARTICLEDOI">
    <vt:lpwstr>10.1029/2012JD017803</vt:lpwstr>
  </property>
  <property fmtid="{D5CDD505-2E9C-101B-9397-08002B2CF9AE}" pid="7" name="WPS-JOURNALDOI">
    <vt:lpwstr>10.1002/(ISSN)2156-2202d</vt:lpwstr>
  </property>
  <property fmtid="{D5CDD505-2E9C-101B-9397-08002B2CF9AE}" pid="8" name="WPS-PROCLEVEL">
    <vt:lpwstr>2</vt:lpwstr>
  </property>
</Properties>
</file>